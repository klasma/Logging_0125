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45851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45851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45851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45851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45851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45851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45851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26588-2025</t>
        </is>
      </c>
      <c r="B9" s="1" t="n">
        <v>45807</v>
      </c>
      <c r="C9" s="1" t="n">
        <v>45851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HYPERLINK("https://klasma.github.io/Logging_010125/artfynd/A 26588-2025 artfynd.xlsx", "A 26588-2025")</f>
        <v/>
      </c>
      <c r="T9">
        <f>HYPERLINK("https://klasma.github.io/Logging_010125/kartor/A 26588-2025 karta.png", "A 26588-2025")</f>
        <v/>
      </c>
      <c r="V9">
        <f>HYPERLINK("https://klasma.github.io/Logging_010125/klagomål/A 26588-2025 FSC-klagomål.docx", "A 26588-2025")</f>
        <v/>
      </c>
      <c r="W9">
        <f>HYPERLINK("https://klasma.github.io/Logging_010125/klagomålsmail/A 26588-2025 FSC-klagomål mail.docx", "A 26588-2025")</f>
        <v/>
      </c>
      <c r="X9">
        <f>HYPERLINK("https://klasma.github.io/Logging_010125/tillsyn/A 26588-2025 tillsynsbegäran.docx", "A 26588-2025")</f>
        <v/>
      </c>
      <c r="Y9">
        <f>HYPERLINK("https://klasma.github.io/Logging_010125/tillsynsmail/A 26588-2025 tillsynsbegäran mail.docx", "A 26588-2025")</f>
        <v/>
      </c>
    </row>
    <row r="10" ht="15" customHeight="1">
      <c r="A10" t="inlineStr">
        <is>
          <t>A 31167-2019</t>
        </is>
      </c>
      <c r="B10" s="1" t="n">
        <v>43635</v>
      </c>
      <c r="C10" s="1" t="n">
        <v>45851</v>
      </c>
      <c r="D10" t="inlineStr">
        <is>
          <t>STOCKHOLMS LÄN</t>
        </is>
      </c>
      <c r="E10" t="inlineStr">
        <is>
          <t>EKERÖ</t>
        </is>
      </c>
      <c r="F10" t="inlineStr">
        <is>
          <t>Övriga statliga verk och myndigheter</t>
        </is>
      </c>
      <c r="G10" t="n">
        <v>3.7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Läderbagge</t>
        </is>
      </c>
      <c r="S10">
        <f>HYPERLINK("https://klasma.github.io/Logging_0125/artfynd/A 31167-2019 artfynd.xlsx", "A 31167-2019")</f>
        <v/>
      </c>
      <c r="T10">
        <f>HYPERLINK("https://klasma.github.io/Logging_0125/kartor/A 31167-2019 karta.png", "A 31167-2019")</f>
        <v/>
      </c>
      <c r="V10">
        <f>HYPERLINK("https://klasma.github.io/Logging_0125/klagomål/A 31167-2019 FSC-klagomål.docx", "A 31167-2019")</f>
        <v/>
      </c>
      <c r="W10">
        <f>HYPERLINK("https://klasma.github.io/Logging_0125/klagomålsmail/A 31167-2019 FSC-klagomål mail.docx", "A 31167-2019")</f>
        <v/>
      </c>
      <c r="X10">
        <f>HYPERLINK("https://klasma.github.io/Logging_0125/tillsyn/A 31167-2019 tillsynsbegäran.docx", "A 31167-2019")</f>
        <v/>
      </c>
      <c r="Y10">
        <f>HYPERLINK("https://klasma.github.io/Logging_0125/tillsynsmail/A 31167-2019 tillsynsbegäran mail.docx", "A 31167-2019")</f>
        <v/>
      </c>
    </row>
    <row r="11" ht="15" customHeight="1">
      <c r="A11" t="inlineStr">
        <is>
          <t>A 54231-2019</t>
        </is>
      </c>
      <c r="B11" s="1" t="n">
        <v>43753</v>
      </c>
      <c r="C11" s="1" t="n">
        <v>45851</v>
      </c>
      <c r="D11" t="inlineStr">
        <is>
          <t>STOCKHOLMS LÄN</t>
        </is>
      </c>
      <c r="E11" t="inlineStr">
        <is>
          <t>EKERÖ</t>
        </is>
      </c>
      <c r="G11" t="n">
        <v>6.2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HYPERLINK("https://klasma.github.io/Logging_0125/artfynd/A 54231-2019 artfynd.xlsx", "A 54231-2019")</f>
        <v/>
      </c>
      <c r="T11">
        <f>HYPERLINK("https://klasma.github.io/Logging_0125/kartor/A 54231-2019 karta.png", "A 54231-2019")</f>
        <v/>
      </c>
      <c r="V11">
        <f>HYPERLINK("https://klasma.github.io/Logging_0125/klagomål/A 54231-2019 FSC-klagomål.docx", "A 54231-2019")</f>
        <v/>
      </c>
      <c r="W11">
        <f>HYPERLINK("https://klasma.github.io/Logging_0125/klagomålsmail/A 54231-2019 FSC-klagomål mail.docx", "A 54231-2019")</f>
        <v/>
      </c>
      <c r="X11">
        <f>HYPERLINK("https://klasma.github.io/Logging_0125/tillsyn/A 54231-2019 tillsynsbegäran.docx", "A 54231-2019")</f>
        <v/>
      </c>
      <c r="Y11">
        <f>HYPERLINK("https://klasma.github.io/Logging_0125/tillsynsmail/A 54231-2019 tillsynsbegäran mail.docx", "A 54231-2019")</f>
        <v/>
      </c>
    </row>
    <row r="12" ht="15" customHeight="1">
      <c r="A12" t="inlineStr">
        <is>
          <t>A 7032-2020</t>
        </is>
      </c>
      <c r="B12" s="1" t="n">
        <v>43868</v>
      </c>
      <c r="C12" s="1" t="n">
        <v>45851</v>
      </c>
      <c r="D12" t="inlineStr">
        <is>
          <t>STOCKHOLMS LÄN</t>
        </is>
      </c>
      <c r="E12" t="inlineStr">
        <is>
          <t>EKERÖ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timmerman</t>
        </is>
      </c>
      <c r="S12">
        <f>HYPERLINK("https://klasma.github.io/Logging_0125/artfynd/A 7032-2020 artfynd.xlsx", "A 7032-2020")</f>
        <v/>
      </c>
      <c r="T12">
        <f>HYPERLINK("https://klasma.github.io/Logging_0125/kartor/A 7032-2020 karta.png", "A 7032-2020")</f>
        <v/>
      </c>
      <c r="V12">
        <f>HYPERLINK("https://klasma.github.io/Logging_0125/klagomål/A 7032-2020 FSC-klagomål.docx", "A 7032-2020")</f>
        <v/>
      </c>
      <c r="W12">
        <f>HYPERLINK("https://klasma.github.io/Logging_0125/klagomålsmail/A 7032-2020 FSC-klagomål mail.docx", "A 7032-2020")</f>
        <v/>
      </c>
      <c r="X12">
        <f>HYPERLINK("https://klasma.github.io/Logging_0125/tillsyn/A 7032-2020 tillsynsbegäran.docx", "A 7032-2020")</f>
        <v/>
      </c>
      <c r="Y12">
        <f>HYPERLINK("https://klasma.github.io/Logging_0125/tillsynsmail/A 7032-2020 tillsynsbegäran mail.docx", "A 7032-2020")</f>
        <v/>
      </c>
    </row>
    <row r="13" ht="15" customHeight="1">
      <c r="A13" t="inlineStr">
        <is>
          <t>A 13891-2022</t>
        </is>
      </c>
      <c r="B13" s="1" t="n">
        <v>44646</v>
      </c>
      <c r="C13" s="1" t="n">
        <v>45851</v>
      </c>
      <c r="D13" t="inlineStr">
        <is>
          <t>STOCKHOLMS LÄN</t>
        </is>
      </c>
      <c r="E13" t="inlineStr">
        <is>
          <t>EKERÖ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HYPERLINK("https://klasma.github.io/Logging_0125/artfynd/A 13891-2022 artfynd.xlsx", "A 13891-2022")</f>
        <v/>
      </c>
      <c r="T13">
        <f>HYPERLINK("https://klasma.github.io/Logging_0125/kartor/A 13891-2022 karta.png", "A 13891-2022")</f>
        <v/>
      </c>
      <c r="V13">
        <f>HYPERLINK("https://klasma.github.io/Logging_0125/klagomål/A 13891-2022 FSC-klagomål.docx", "A 13891-2022")</f>
        <v/>
      </c>
      <c r="W13">
        <f>HYPERLINK("https://klasma.github.io/Logging_0125/klagomålsmail/A 13891-2022 FSC-klagomål mail.docx", "A 13891-2022")</f>
        <v/>
      </c>
      <c r="X13">
        <f>HYPERLINK("https://klasma.github.io/Logging_0125/tillsyn/A 13891-2022 tillsynsbegäran.docx", "A 13891-2022")</f>
        <v/>
      </c>
      <c r="Y13">
        <f>HYPERLINK("https://klasma.github.io/Logging_0125/tillsynsmail/A 13891-2022 tillsynsbegäran mail.docx", "A 13891-2022")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45851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14014-2023</t>
        </is>
      </c>
      <c r="B15" s="1" t="n">
        <v>45008</v>
      </c>
      <c r="C15" s="1" t="n">
        <v>45851</v>
      </c>
      <c r="D15" t="inlineStr">
        <is>
          <t>STOCKHOLMS LÄN</t>
        </is>
      </c>
      <c r="E15" t="inlineStr">
        <is>
          <t>EKERÖ</t>
        </is>
      </c>
      <c r="G15" t="n">
        <v>4.7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HYPERLINK("https://klasma.github.io/Logging_0125/artfynd/A 14014-2023 artfynd.xlsx", "A 14014-2023")</f>
        <v/>
      </c>
      <c r="T15">
        <f>HYPERLINK("https://klasma.github.io/Logging_0125/kartor/A 14014-2023 karta.png", "A 14014-2023")</f>
        <v/>
      </c>
      <c r="V15">
        <f>HYPERLINK("https://klasma.github.io/Logging_0125/klagomål/A 14014-2023 FSC-klagomål.docx", "A 14014-2023")</f>
        <v/>
      </c>
      <c r="W15">
        <f>HYPERLINK("https://klasma.github.io/Logging_0125/klagomålsmail/A 14014-2023 FSC-klagomål mail.docx", "A 14014-2023")</f>
        <v/>
      </c>
      <c r="X15">
        <f>HYPERLINK("https://klasma.github.io/Logging_0125/tillsyn/A 14014-2023 tillsynsbegäran.docx", "A 14014-2023")</f>
        <v/>
      </c>
      <c r="Y15">
        <f>HYPERLINK("https://klasma.github.io/Logging_0125/tillsynsmail/A 14014-2023 tillsynsbegäran mail.docx", "A 14014-2023")</f>
        <v/>
      </c>
      <c r="Z15">
        <f>HYPERLINK("https://klasma.github.io/Logging_0125/fåglar/A 14014-2023 prioriterade fågelarter.docx", "A 14014-2023")</f>
        <v/>
      </c>
    </row>
    <row r="16" ht="15" customHeight="1">
      <c r="A16" t="inlineStr">
        <is>
          <t>A 35953-2023</t>
        </is>
      </c>
      <c r="B16" s="1" t="n">
        <v>45148</v>
      </c>
      <c r="C16" s="1" t="n">
        <v>45851</v>
      </c>
      <c r="D16" t="inlineStr">
        <is>
          <t>STOCKHOLMS LÄN</t>
        </is>
      </c>
      <c r="E16" t="inlineStr">
        <is>
          <t>EKERÖ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HYPERLINK("https://klasma.github.io/Logging_0125/artfynd/A 35953-2023 artfynd.xlsx", "A 35953-2023")</f>
        <v/>
      </c>
      <c r="T16">
        <f>HYPERLINK("https://klasma.github.io/Logging_0125/kartor/A 35953-2023 karta.png", "A 35953-2023")</f>
        <v/>
      </c>
      <c r="V16">
        <f>HYPERLINK("https://klasma.github.io/Logging_0125/klagomål/A 35953-2023 FSC-klagomål.docx", "A 35953-2023")</f>
        <v/>
      </c>
      <c r="W16">
        <f>HYPERLINK("https://klasma.github.io/Logging_0125/klagomålsmail/A 35953-2023 FSC-klagomål mail.docx", "A 35953-2023")</f>
        <v/>
      </c>
      <c r="X16">
        <f>HYPERLINK("https://klasma.github.io/Logging_0125/tillsyn/A 35953-2023 tillsynsbegäran.docx", "A 35953-2023")</f>
        <v/>
      </c>
      <c r="Y16">
        <f>HYPERLINK("https://klasma.github.io/Logging_0125/tillsynsmail/A 35953-2023 tillsynsbegäran mail.docx", "A 35953-2023")</f>
        <v/>
      </c>
    </row>
    <row r="17" ht="15" customHeight="1">
      <c r="A17" t="inlineStr">
        <is>
          <t>A 52545-2024</t>
        </is>
      </c>
      <c r="B17" s="1" t="n">
        <v>45609</v>
      </c>
      <c r="C17" s="1" t="n">
        <v>45851</v>
      </c>
      <c r="D17" t="inlineStr">
        <is>
          <t>STOCKHOLMS LÄN</t>
        </is>
      </c>
      <c r="E17" t="inlineStr">
        <is>
          <t>EKERÖ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HYPERLINK("https://klasma.github.io/Logging_0125/artfynd/A 52545-2024 artfynd.xlsx", "A 52545-2024")</f>
        <v/>
      </c>
      <c r="T17">
        <f>HYPERLINK("https://klasma.github.io/Logging_0125/kartor/A 52545-2024 karta.png", "A 52545-2024")</f>
        <v/>
      </c>
      <c r="V17">
        <f>HYPERLINK("https://klasma.github.io/Logging_0125/klagomål/A 52545-2024 FSC-klagomål.docx", "A 52545-2024")</f>
        <v/>
      </c>
      <c r="W17">
        <f>HYPERLINK("https://klasma.github.io/Logging_0125/klagomålsmail/A 52545-2024 FSC-klagomål mail.docx", "A 52545-2024")</f>
        <v/>
      </c>
      <c r="X17">
        <f>HYPERLINK("https://klasma.github.io/Logging_0125/tillsyn/A 52545-2024 tillsynsbegäran.docx", "A 52545-2024")</f>
        <v/>
      </c>
      <c r="Y17">
        <f>HYPERLINK("https://klasma.github.io/Logging_0125/tillsynsmail/A 52545-2024 tillsynsbegäran mail.docx", "A 52545-2024")</f>
        <v/>
      </c>
    </row>
    <row r="18" ht="15" customHeight="1">
      <c r="A18" t="inlineStr">
        <is>
          <t>A 1793-2025</t>
        </is>
      </c>
      <c r="B18" s="1" t="n">
        <v>45671</v>
      </c>
      <c r="C18" s="1" t="n">
        <v>45851</v>
      </c>
      <c r="D18" t="inlineStr">
        <is>
          <t>STOCKHOLMS LÄN</t>
        </is>
      </c>
      <c r="E18" t="inlineStr">
        <is>
          <t>EKERÖ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HYPERLINK("https://klasma.github.io/Logging_0125/artfynd/A 1793-2025 artfynd.xlsx", "A 1793-2025")</f>
        <v/>
      </c>
      <c r="T18">
        <f>HYPERLINK("https://klasma.github.io/Logging_0125/kartor/A 1793-2025 karta.png", "A 1793-2025")</f>
        <v/>
      </c>
      <c r="V18">
        <f>HYPERLINK("https://klasma.github.io/Logging_0125/klagomål/A 1793-2025 FSC-klagomål.docx", "A 1793-2025")</f>
        <v/>
      </c>
      <c r="W18">
        <f>HYPERLINK("https://klasma.github.io/Logging_0125/klagomålsmail/A 1793-2025 FSC-klagomål mail.docx", "A 1793-2025")</f>
        <v/>
      </c>
      <c r="X18">
        <f>HYPERLINK("https://klasma.github.io/Logging_0125/tillsyn/A 1793-2025 tillsynsbegäran.docx", "A 1793-2025")</f>
        <v/>
      </c>
      <c r="Y18">
        <f>HYPERLINK("https://klasma.github.io/Logging_0125/tillsynsmail/A 1793-2025 tillsynsbegäran mail.docx", "A 1793-2025")</f>
        <v/>
      </c>
    </row>
    <row r="19" ht="15" customHeight="1">
      <c r="A19" t="inlineStr">
        <is>
          <t>A 31171-2019</t>
        </is>
      </c>
      <c r="B19" s="1" t="n">
        <v>43635</v>
      </c>
      <c r="C19" s="1" t="n">
        <v>45851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45851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45851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45851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45851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45851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45851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45851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45851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45851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45851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45851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45851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45851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45851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45851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45851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45851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45851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45851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45851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45851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45851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45851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45851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45851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45851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45851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45851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45851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45851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45851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48839-2023</t>
        </is>
      </c>
      <c r="B51" s="1" t="n">
        <v>45209</v>
      </c>
      <c r="C51" s="1" t="n">
        <v>45851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11481-2024</t>
        </is>
      </c>
      <c r="B52" s="1" t="n">
        <v>45372</v>
      </c>
      <c r="C52" s="1" t="n">
        <v>45851</v>
      </c>
      <c r="D52" t="inlineStr">
        <is>
          <t>STOCKHOLMS LÄN</t>
        </is>
      </c>
      <c r="E52" t="inlineStr">
        <is>
          <t>EKERÖ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55724-2024</t>
        </is>
      </c>
      <c r="B53" s="1" t="n">
        <v>45622</v>
      </c>
      <c r="C53" s="1" t="n">
        <v>45851</v>
      </c>
      <c r="D53" t="inlineStr">
        <is>
          <t>STOCKHOLMS LÄN</t>
        </is>
      </c>
      <c r="E53" t="inlineStr">
        <is>
          <t>EKERÖ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55866-2024</t>
        </is>
      </c>
      <c r="B54" s="1" t="n">
        <v>45623</v>
      </c>
      <c r="C54" s="1" t="n">
        <v>45851</v>
      </c>
      <c r="D54" t="inlineStr">
        <is>
          <t>STOCKHOLMS LÄN</t>
        </is>
      </c>
      <c r="E54" t="inlineStr">
        <is>
          <t>EKERÖ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55886-2024</t>
        </is>
      </c>
      <c r="B55" s="1" t="n">
        <v>45623</v>
      </c>
      <c r="C55" s="1" t="n">
        <v>45851</v>
      </c>
      <c r="D55" t="inlineStr">
        <is>
          <t>STOCKHOLMS LÄN</t>
        </is>
      </c>
      <c r="E55" t="inlineStr">
        <is>
          <t>EKERÖ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55892-2024</t>
        </is>
      </c>
      <c r="B56" s="1" t="n">
        <v>45623</v>
      </c>
      <c r="C56" s="1" t="n">
        <v>45851</v>
      </c>
      <c r="D56" t="inlineStr">
        <is>
          <t>STOCKHOLMS LÄN</t>
        </is>
      </c>
      <c r="E56" t="inlineStr">
        <is>
          <t>EKERÖ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56002-2024</t>
        </is>
      </c>
      <c r="B57" s="1" t="n">
        <v>45623</v>
      </c>
      <c r="C57" s="1" t="n">
        <v>45851</v>
      </c>
      <c r="D57" t="inlineStr">
        <is>
          <t>STOCKHOLMS LÄN</t>
        </is>
      </c>
      <c r="E57" t="inlineStr">
        <is>
          <t>EKERÖ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56845-2024</t>
        </is>
      </c>
      <c r="B58" s="1" t="n">
        <v>45628</v>
      </c>
      <c r="C58" s="1" t="n">
        <v>45851</v>
      </c>
      <c r="D58" t="inlineStr">
        <is>
          <t>STOCKHOLMS LÄN</t>
        </is>
      </c>
      <c r="E58" t="inlineStr">
        <is>
          <t>EKERÖ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56849-2024</t>
        </is>
      </c>
      <c r="B59" s="1" t="n">
        <v>45628</v>
      </c>
      <c r="C59" s="1" t="n">
        <v>45851</v>
      </c>
      <c r="D59" t="inlineStr">
        <is>
          <t>STOCKHOLMS LÄN</t>
        </is>
      </c>
      <c r="E59" t="inlineStr">
        <is>
          <t>EKERÖ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60509-2024</t>
        </is>
      </c>
      <c r="B60" s="1" t="n">
        <v>45643</v>
      </c>
      <c r="C60" s="1" t="n">
        <v>45851</v>
      </c>
      <c r="D60" t="inlineStr">
        <is>
          <t>STOCKHOLMS LÄN</t>
        </is>
      </c>
      <c r="E60" t="inlineStr">
        <is>
          <t>EKERÖ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60755-2024</t>
        </is>
      </c>
      <c r="B61" s="1" t="n">
        <v>45644</v>
      </c>
      <c r="C61" s="1" t="n">
        <v>45851</v>
      </c>
      <c r="D61" t="inlineStr">
        <is>
          <t>STOCKHOLMS LÄN</t>
        </is>
      </c>
      <c r="E61" t="inlineStr">
        <is>
          <t>EKERÖ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61039-2024</t>
        </is>
      </c>
      <c r="B62" s="1" t="n">
        <v>45645</v>
      </c>
      <c r="C62" s="1" t="n">
        <v>45851</v>
      </c>
      <c r="D62" t="inlineStr">
        <is>
          <t>STOCKHOLMS LÄN</t>
        </is>
      </c>
      <c r="E62" t="inlineStr">
        <is>
          <t>EKERÖ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61080-2024</t>
        </is>
      </c>
      <c r="B63" s="1" t="n">
        <v>45645</v>
      </c>
      <c r="C63" s="1" t="n">
        <v>45851</v>
      </c>
      <c r="D63" t="inlineStr">
        <is>
          <t>STOCKHOLMS LÄN</t>
        </is>
      </c>
      <c r="E63" t="inlineStr">
        <is>
          <t>EKERÖ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61217-2024</t>
        </is>
      </c>
      <c r="B64" s="1" t="n">
        <v>45645</v>
      </c>
      <c r="C64" s="1" t="n">
        <v>45851</v>
      </c>
      <c r="D64" t="inlineStr">
        <is>
          <t>STOCKHOLMS LÄN</t>
        </is>
      </c>
      <c r="E64" t="inlineStr">
        <is>
          <t>EKERÖ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61209-2024</t>
        </is>
      </c>
      <c r="B65" s="1" t="n">
        <v>45645</v>
      </c>
      <c r="C65" s="1" t="n">
        <v>45851</v>
      </c>
      <c r="D65" t="inlineStr">
        <is>
          <t>STOCKHOLMS LÄN</t>
        </is>
      </c>
      <c r="E65" t="inlineStr">
        <is>
          <t>EKERÖ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3874-2025</t>
        </is>
      </c>
      <c r="B66" s="1" t="n">
        <v>45684</v>
      </c>
      <c r="C66" s="1" t="n">
        <v>45851</v>
      </c>
      <c r="D66" t="inlineStr">
        <is>
          <t>STOCKHOLMS LÄN</t>
        </is>
      </c>
      <c r="E66" t="inlineStr">
        <is>
          <t>EKERÖ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3878-2025</t>
        </is>
      </c>
      <c r="B67" s="1" t="n">
        <v>45684</v>
      </c>
      <c r="C67" s="1" t="n">
        <v>45851</v>
      </c>
      <c r="D67" t="inlineStr">
        <is>
          <t>STOCKHOLMS LÄN</t>
        </is>
      </c>
      <c r="E67" t="inlineStr">
        <is>
          <t>EKERÖ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12690-2025</t>
        </is>
      </c>
      <c r="B68" s="1" t="n">
        <v>45733</v>
      </c>
      <c r="C68" s="1" t="n">
        <v>45851</v>
      </c>
      <c r="D68" t="inlineStr">
        <is>
          <t>STOCKHOLMS LÄN</t>
        </is>
      </c>
      <c r="E68" t="inlineStr">
        <is>
          <t>EKERÖ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19935-2025</t>
        </is>
      </c>
      <c r="B69" s="1" t="n">
        <v>45771</v>
      </c>
      <c r="C69" s="1" t="n">
        <v>45851</v>
      </c>
      <c r="D69" t="inlineStr">
        <is>
          <t>STOCKHOLMS LÄN</t>
        </is>
      </c>
      <c r="E69" t="inlineStr">
        <is>
          <t>EKERÖ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26600-2025</t>
        </is>
      </c>
      <c r="B70" s="1" t="n">
        <v>45808</v>
      </c>
      <c r="C70" s="1" t="n">
        <v>45851</v>
      </c>
      <c r="D70" t="inlineStr">
        <is>
          <t>STOCKHOLMS LÄN</t>
        </is>
      </c>
      <c r="E70" t="inlineStr">
        <is>
          <t>EKERÖ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31607-2025</t>
        </is>
      </c>
      <c r="B71" s="1" t="n">
        <v>45833</v>
      </c>
      <c r="C71" s="1" t="n">
        <v>45851</v>
      </c>
      <c r="D71" t="inlineStr">
        <is>
          <t>STOCKHOLMS LÄN</t>
        </is>
      </c>
      <c r="E71" t="inlineStr">
        <is>
          <t>EKERÖ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>
      <c r="A72" t="inlineStr">
        <is>
          <t>A 34073-2025</t>
        </is>
      </c>
      <c r="B72" s="1" t="n">
        <v>45845</v>
      </c>
      <c r="C72" s="1" t="n">
        <v>45851</v>
      </c>
      <c r="D72" t="inlineStr">
        <is>
          <t>STOCKHOLMS LÄN</t>
        </is>
      </c>
      <c r="E72" t="inlineStr">
        <is>
          <t>EKERÖ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2025-07-13T19:43:56Z</dcterms:created>
  <dcterms:modified xmlns:dcterms="http://purl.org/dc/terms/" xmlns:xsi="http://www.w3.org/2001/XMLSchema-instance" xsi:type="dcterms:W3CDTF">2025-07-13T19:43:56Z</dcterms:modified>
</cp:coreProperties>
</file>