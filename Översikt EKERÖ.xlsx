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46221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46221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46221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46221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46221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46221</v>
      </c>
      <c r="F8" t="inlineStr">
        <is>
          <t>STOCKHOLMS LÄN</t>
        </is>
      </c>
      <c r="G8" t="inlineStr">
        <is>
          <t>EKERÖ</t>
        </is>
      </c>
      <c r="I8" t="n">
        <v>0.9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Jättemusseron
Motaggsvamp
Svartvit taggsvamp</t>
        </is>
      </c>
      <c r="V8">
        <f>HYPERLINK("https://klasma.github.io/Logging_0125/artfynd/A 49131-2025 artfynd.xlsx", "A 49131-2025")</f>
        <v/>
      </c>
      <c r="W8">
        <f>HYPERLINK("https://klasma.github.io/Logging_0125/kartor/A 49131-2025 karta.png", "A 49131-2025")</f>
        <v/>
      </c>
      <c r="Y8">
        <f>HYPERLINK("https://klasma.github.io/Logging_0125/klagomål/A 49131-2025 FSC-klagomål.docx", "A 49131-2025")</f>
        <v/>
      </c>
      <c r="Z8">
        <f>HYPERLINK("https://klasma.github.io/Logging_0125/klagomålsmail/A 49131-2025 FSC-klagomål mail.docx", "A 49131-2025")</f>
        <v/>
      </c>
      <c r="AA8">
        <f>HYPERLINK("https://klasma.github.io/Logging_0125/tillsyn/A 49131-2025 tillsynsbegäran.docx", "A 49131-2025")</f>
        <v/>
      </c>
      <c r="AB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45002</v>
      </c>
      <c r="E9" s="1" t="n">
        <v>46221</v>
      </c>
      <c r="F9" t="inlineStr">
        <is>
          <t>STOCKHOLMS LÄN</t>
        </is>
      </c>
      <c r="G9" t="inlineStr">
        <is>
          <t>EKERÖ</t>
        </is>
      </c>
      <c r="H9" t="inlineStr">
        <is>
          <t>Kommuner</t>
        </is>
      </c>
      <c r="I9" t="n">
        <v>9.300000000000001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s="2" t="inlineStr">
        <is>
          <t>Tallticka
Granbarkgnagare
Grönpyrola</t>
        </is>
      </c>
      <c r="V9">
        <f>HYPERLINK("https://klasma.github.io/Logging_0125/artfynd/A 13237-2023 artfynd.xlsx", "A 13237-2023")</f>
        <v/>
      </c>
      <c r="W9">
        <f>HYPERLINK("https://klasma.github.io/Logging_0125/kartor/A 13237-2023 karta.png", "A 13237-2023")</f>
        <v/>
      </c>
      <c r="Y9">
        <f>HYPERLINK("https://klasma.github.io/Logging_0125/klagomål/A 13237-2023 FSC-klagomål.docx", "A 13237-2023")</f>
        <v/>
      </c>
      <c r="Z9">
        <f>HYPERLINK("https://klasma.github.io/Logging_0125/klagomålsmail/A 13237-2023 FSC-klagomål mail.docx", "A 13237-2023")</f>
        <v/>
      </c>
      <c r="AA9">
        <f>HYPERLINK("https://klasma.github.io/Logging_0125/tillsyn/A 13237-2023 tillsynsbegäran.docx", "A 13237-2023")</f>
        <v/>
      </c>
      <c r="AB9">
        <f>HYPERLINK("https://klasma.github.io/Logging_0125/tillsynsmail/A 13237-2023 tillsynsbegäran mail.docx", "A 13237-2023")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46221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Tallticka
Sångsvan</t>
        </is>
      </c>
      <c r="V10">
        <f>HYPERLINK("https://klasma.github.io/Logging_0125/artfynd/A 48839-2023 artfynd.xlsx", "A 48839-2023")</f>
        <v/>
      </c>
      <c r="W10">
        <f>HYPERLINK("https://klasma.github.io/Logging_0125/kartor/A 48839-2023 karta.png", "A 48839-2023")</f>
        <v/>
      </c>
      <c r="Y10">
        <f>HYPERLINK("https://klasma.github.io/Logging_0125/klagomål/A 48839-2023 FSC-klagomål.docx", "A 48839-2023")</f>
        <v/>
      </c>
      <c r="Z10">
        <f>HYPERLINK("https://klasma.github.io/Logging_0125/klagomålsmail/A 48839-2023 FSC-klagomål mail.docx", "A 48839-2023")</f>
        <v/>
      </c>
      <c r="AA10">
        <f>HYPERLINK("https://klasma.github.io/Logging_0125/tillsyn/A 48839-2023 tillsynsbegäran.docx", "A 48839-2023")</f>
        <v/>
      </c>
      <c r="AB10">
        <f>HYPERLINK("https://klasma.github.io/Logging_0125/tillsynsmail/A 48839-2023 tillsynsbegäran mail.docx", "A 48839-2023")</f>
        <v/>
      </c>
      <c r="AC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46221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s="2" t="inlineStr">
        <is>
          <t>Ekticka
Grentaggsvamp</t>
        </is>
      </c>
      <c r="V11">
        <f>HYPERLINK("https://klasma.github.io/Logging_0125/artfynd/S 2984-2023 artfynd.xlsx", "S 2984-2023")</f>
        <v/>
      </c>
      <c r="W11">
        <f>HYPERLINK("https://klasma.github.io/Logging_0125/kartor/S 2984-2023 karta.png", "S 2984-2023")</f>
        <v/>
      </c>
      <c r="Y11">
        <f>HYPERLINK("https://klasma.github.io/Logging_0125/klagomål/S 2984-2023 FSC-klagomål.docx", "S 2984-2023")</f>
        <v/>
      </c>
      <c r="Z11">
        <f>HYPERLINK("https://klasma.github.io/Logging_0125/klagomålsmail/S 2984-2023 FSC-klagomål mail.docx", "S 2984-2023")</f>
        <v/>
      </c>
      <c r="AA11">
        <f>HYPERLINK("https://klasma.github.io/Logging_0125/tillsyn/S 2984-2023 tillsynsbegäran.docx", "S 2984-2023")</f>
        <v/>
      </c>
      <c r="AB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46221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s="2" t="inlineStr">
        <is>
          <t>Granbarkgnagare</t>
        </is>
      </c>
      <c r="V12">
        <f>HYPERLINK("https://klasma.github.io/Logging_0125/artfynd/A 13891-2022 artfynd.xlsx", "A 13891-2022")</f>
        <v/>
      </c>
      <c r="W12">
        <f>HYPERLINK("https://klasma.github.io/Logging_0125/kartor/A 13891-2022 karta.png", "A 13891-2022")</f>
        <v/>
      </c>
      <c r="Y12">
        <f>HYPERLINK("https://klasma.github.io/Logging_0125/klagomål/A 13891-2022 FSC-klagomål.docx", "A 13891-2022")</f>
        <v/>
      </c>
      <c r="Z12">
        <f>HYPERLINK("https://klasma.github.io/Logging_0125/klagomålsmail/A 13891-2022 FSC-klagomål mail.docx", "A 13891-2022")</f>
        <v/>
      </c>
      <c r="AA12">
        <f>HYPERLINK("https://klasma.github.io/Logging_0125/tillsyn/A 13891-2022 tillsynsbegäran.docx", "A 13891-2022")</f>
        <v/>
      </c>
      <c r="AB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46221</v>
      </c>
      <c r="F13" t="inlineStr">
        <is>
          <t>STOCKHOLMS LÄN</t>
        </is>
      </c>
      <c r="G13" t="inlineStr">
        <is>
          <t>EKERÖ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Revlummer</t>
        </is>
      </c>
      <c r="V13">
        <f>HYPERLINK("https://klasma.github.io/Logging_0125/artfynd/A 2533-2026 artfynd.xlsx", "A 2533-2026")</f>
        <v/>
      </c>
      <c r="W13">
        <f>HYPERLINK("https://klasma.github.io/Logging_0125/kartor/A 2533-2026 karta.png", "A 2533-2026")</f>
        <v/>
      </c>
      <c r="Y13">
        <f>HYPERLINK("https://klasma.github.io/Logging_0125/klagomål/A 2533-2026 FSC-klagomål.docx", "A 2533-2026")</f>
        <v/>
      </c>
      <c r="Z13">
        <f>HYPERLINK("https://klasma.github.io/Logging_0125/klagomålsmail/A 2533-2026 FSC-klagomål mail.docx", "A 2533-2026")</f>
        <v/>
      </c>
      <c r="AA13">
        <f>HYPERLINK("https://klasma.github.io/Logging_0125/tillsyn/A 2533-2026 tillsynsbegäran.docx", "A 2533-2026")</f>
        <v/>
      </c>
      <c r="AB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46221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46221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HYPERLINK("https://klasma.github.io/Logging_0125/artfynd/A 13794-2023 artfynd.xlsx", "A 13794-2023")</f>
        <v/>
      </c>
      <c r="W15">
        <f>HYPERLINK("https://klasma.github.io/Logging_0125/kartor/A 13794-2023 karta.png", "A 13794-2023")</f>
        <v/>
      </c>
      <c r="Y15">
        <f>HYPERLINK("https://klasma.github.io/Logging_0125/klagomål/A 13794-2023 FSC-klagomål.docx", "A 13794-2023")</f>
        <v/>
      </c>
      <c r="Z15">
        <f>HYPERLINK("https://klasma.github.io/Logging_0125/klagomålsmail/A 13794-2023 FSC-klagomål mail.docx", "A 13794-2023")</f>
        <v/>
      </c>
      <c r="AA15">
        <f>HYPERLINK("https://klasma.github.io/Logging_0125/tillsyn/A 13794-2023 tillsynsbegäran.docx", "A 13794-2023")</f>
        <v/>
      </c>
      <c r="AB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46221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s="2" t="inlineStr">
        <is>
          <t>Mistel</t>
        </is>
      </c>
      <c r="V16">
        <f>HYPERLINK("https://klasma.github.io/Logging_0125/artfynd/A 1793-2025 artfynd.xlsx", "A 1793-2025")</f>
        <v/>
      </c>
      <c r="W16">
        <f>HYPERLINK("https://klasma.github.io/Logging_0125/kartor/A 1793-2025 karta.png", "A 1793-2025")</f>
        <v/>
      </c>
      <c r="Y16">
        <f>HYPERLINK("https://klasma.github.io/Logging_0125/klagomål/A 1793-2025 FSC-klagomål.docx", "A 1793-2025")</f>
        <v/>
      </c>
      <c r="Z16">
        <f>HYPERLINK("https://klasma.github.io/Logging_0125/klagomålsmail/A 1793-2025 FSC-klagomål mail.docx", "A 1793-2025")</f>
        <v/>
      </c>
      <c r="AA16">
        <f>HYPERLINK("https://klasma.github.io/Logging_0125/tillsyn/A 1793-2025 tillsynsbegäran.docx", "A 1793-2025")</f>
        <v/>
      </c>
      <c r="AB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46221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46221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50184-2023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46221</v>
      </c>
      <c r="F19" t="inlineStr">
        <is>
          <t>STOCKHOLMS LÄN</t>
        </is>
      </c>
      <c r="G19" t="inlineStr">
        <is>
          <t>EKERÖ</t>
        </is>
      </c>
      <c r="I19" t="n">
        <v>10.8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2535-2026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46221</v>
      </c>
      <c r="F20" t="inlineStr">
        <is>
          <t>STOCKHOLMS LÄN</t>
        </is>
      </c>
      <c r="G20" t="inlineStr">
        <is>
          <t>EKERÖ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56002-2024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45623</v>
      </c>
      <c r="E21" s="1" t="n">
        <v>46221</v>
      </c>
      <c r="F21" t="inlineStr">
        <is>
          <t>STOCKHOLMS LÄN</t>
        </is>
      </c>
      <c r="G21" t="inlineStr">
        <is>
          <t>EKERÖ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46221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46221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46221</v>
      </c>
      <c r="F24" t="inlineStr">
        <is>
          <t>STOCKHOLMS LÄN</t>
        </is>
      </c>
      <c r="G24" t="inlineStr">
        <is>
          <t>EKERÖ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46221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3219-2022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46221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60755-2024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46221</v>
      </c>
      <c r="F27" t="inlineStr">
        <is>
          <t>STOCKHOLMS LÄN</t>
        </is>
      </c>
      <c r="G27" t="inlineStr">
        <is>
          <t>EKERÖ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46221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46221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35955-2023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45148</v>
      </c>
      <c r="E30" s="1" t="n">
        <v>46221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20398-2026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46221</v>
      </c>
      <c r="F31" t="inlineStr">
        <is>
          <t>STOCKHOLMS LÄN</t>
        </is>
      </c>
      <c r="G31" t="inlineStr">
        <is>
          <t>EKERÖ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46221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46221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46221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46221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2026-07-18T01:22:43Z</dcterms:created>
  <dcterms:modified xmlns:dcterms="http://purl.org/dc/terms/" xmlns:xsi="http://www.w3.org/2001/XMLSchema-instance" xsi:type="dcterms:W3CDTF">2026-07-18T01:22:43Z</dcterms:modified>
</cp:coreProperties>
</file>