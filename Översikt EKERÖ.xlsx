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46217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46217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46217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46217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46217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46217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46217</v>
      </c>
      <c r="F8" t="inlineStr">
        <is>
          <t>STOCKHOLMS LÄN</t>
        </is>
      </c>
      <c r="G8" t="inlineStr">
        <is>
          <t>EKERÖ</t>
        </is>
      </c>
      <c r="I8" t="n">
        <v>0.9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Jättemusseron
Motaggsvamp
Svartvit taggsvamp</t>
        </is>
      </c>
      <c r="V8">
        <f>HYPERLINK("https://klasma.github.io/Logging_0125/artfynd/A 49131-2025 artfynd.xlsx", "A 49131-2025")</f>
        <v/>
      </c>
      <c r="W8">
        <f>HYPERLINK("https://klasma.github.io/Logging_0125/kartor/A 49131-2025 karta.png", "A 49131-2025")</f>
        <v/>
      </c>
      <c r="Y8">
        <f>HYPERLINK("https://klasma.github.io/Logging_0125/klagomål/A 49131-2025 FSC-klagomål.docx", "A 49131-2025")</f>
        <v/>
      </c>
      <c r="Z8">
        <f>HYPERLINK("https://klasma.github.io/Logging_0125/klagomålsmail/A 49131-2025 FSC-klagomål mail.docx", "A 49131-2025")</f>
        <v/>
      </c>
      <c r="AA8">
        <f>HYPERLINK("https://klasma.github.io/Logging_0125/tillsyn/A 49131-2025 tillsynsbegäran.docx", "A 49131-2025")</f>
        <v/>
      </c>
      <c r="AB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45002</v>
      </c>
      <c r="E9" s="1" t="n">
        <v>46217</v>
      </c>
      <c r="F9" t="inlineStr">
        <is>
          <t>STOCKHOLMS LÄN</t>
        </is>
      </c>
      <c r="G9" t="inlineStr">
        <is>
          <t>EKERÖ</t>
        </is>
      </c>
      <c r="H9" t="inlineStr">
        <is>
          <t>Kommuner</t>
        </is>
      </c>
      <c r="I9" t="n">
        <v>9.300000000000001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s="2" t="inlineStr">
        <is>
          <t>Tallticka
Granbarkgnagare
Grönpyrola</t>
        </is>
      </c>
      <c r="V9">
        <f>HYPERLINK("https://klasma.github.io/Logging_0125/artfynd/A 13237-2023 artfynd.xlsx", "A 13237-2023")</f>
        <v/>
      </c>
      <c r="W9">
        <f>HYPERLINK("https://klasma.github.io/Logging_0125/kartor/A 13237-2023 karta.png", "A 13237-2023")</f>
        <v/>
      </c>
      <c r="Y9">
        <f>HYPERLINK("https://klasma.github.io/Logging_0125/klagomål/A 13237-2023 FSC-klagomål.docx", "A 13237-2023")</f>
        <v/>
      </c>
      <c r="Z9">
        <f>HYPERLINK("https://klasma.github.io/Logging_0125/klagomålsmail/A 13237-2023 FSC-klagomål mail.docx", "A 13237-2023")</f>
        <v/>
      </c>
      <c r="AA9">
        <f>HYPERLINK("https://klasma.github.io/Logging_0125/tillsyn/A 13237-2023 tillsynsbegäran.docx", "A 13237-2023")</f>
        <v/>
      </c>
      <c r="AB9">
        <f>HYPERLINK("https://klasma.github.io/Logging_0125/tillsynsmail/A 13237-2023 tillsynsbegäran mail.docx", "A 13237-2023")</f>
        <v/>
      </c>
    </row>
    <row r="10" ht="15" customHeight="1">
      <c r="A10" t="inlineStr">
        <is>
          <t>A 48988-2025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45936</v>
      </c>
      <c r="E10" s="1" t="n">
        <v>46217</v>
      </c>
      <c r="F10" t="inlineStr">
        <is>
          <t>STOCKHOLMS LÄN</t>
        </is>
      </c>
      <c r="G10" t="inlineStr">
        <is>
          <t>EKERÖ</t>
        </is>
      </c>
      <c r="I10" t="n">
        <v>2.1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Blodvaxing
Ängsvaxing agg.</t>
        </is>
      </c>
      <c r="V10">
        <f>HYPERLINK("https://klasma.github.io/Logging_0125/artfynd/A 48988-2025 artfynd.xlsx", "A 48988-2025")</f>
        <v/>
      </c>
      <c r="W10">
        <f>HYPERLINK("https://klasma.github.io/Logging_0125/kartor/A 48988-2025 karta.png", "A 48988-2025")</f>
        <v/>
      </c>
      <c r="Y10">
        <f>HYPERLINK("https://klasma.github.io/Logging_0125/klagomål/A 48988-2025 FSC-klagomål.docx", "A 48988-2025")</f>
        <v/>
      </c>
      <c r="Z10">
        <f>HYPERLINK("https://klasma.github.io/Logging_0125/klagomålsmail/A 48988-2025 FSC-klagomål mail.docx", "A 48988-2025")</f>
        <v/>
      </c>
      <c r="AA10">
        <f>HYPERLINK("https://klasma.github.io/Logging_0125/tillsyn/A 48988-2025 tillsynsbegäran.docx", "A 48988-2025")</f>
        <v/>
      </c>
      <c r="AB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45209</v>
      </c>
      <c r="E11" s="1" t="n">
        <v>46217</v>
      </c>
      <c r="F11" t="inlineStr">
        <is>
          <t>STOCKHOLMS LÄN</t>
        </is>
      </c>
      <c r="G11" t="inlineStr">
        <is>
          <t>EKERÖ</t>
        </is>
      </c>
      <c r="H11" t="inlineStr">
        <is>
          <t>Kyrkan</t>
        </is>
      </c>
      <c r="I11" t="n">
        <v>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Tallticka
Sångsvan</t>
        </is>
      </c>
      <c r="V11">
        <f>HYPERLINK("https://klasma.github.io/Logging_0125/artfynd/A 48839-2023 artfynd.xlsx", "A 48839-2023")</f>
        <v/>
      </c>
      <c r="W11">
        <f>HYPERLINK("https://klasma.github.io/Logging_0125/kartor/A 48839-2023 karta.png", "A 48839-2023")</f>
        <v/>
      </c>
      <c r="Y11">
        <f>HYPERLINK("https://klasma.github.io/Logging_0125/klagomål/A 48839-2023 FSC-klagomål.docx", "A 48839-2023")</f>
        <v/>
      </c>
      <c r="Z11">
        <f>HYPERLINK("https://klasma.github.io/Logging_0125/klagomålsmail/A 48839-2023 FSC-klagomål mail.docx", "A 48839-2023")</f>
        <v/>
      </c>
      <c r="AA11">
        <f>HYPERLINK("https://klasma.github.io/Logging_0125/tillsyn/A 48839-2023 tillsynsbegäran.docx", "A 48839-2023")</f>
        <v/>
      </c>
      <c r="AB11">
        <f>HYPERLINK("https://klasma.github.io/Logging_0125/tillsynsmail/A 48839-2023 tillsynsbegäran mail.docx", "A 48839-2023")</f>
        <v/>
      </c>
      <c r="AC11">
        <f>HYPERLINK("https://klasma.github.io/Logging_0125/fåglar/A 48839-2023 prioriterade fågelarter.docx", "A 48839-2023")</f>
        <v/>
      </c>
    </row>
    <row r="12" ht="15" customHeight="1">
      <c r="A12" t="inlineStr">
        <is>
          <t>S 2984-2023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45170</v>
      </c>
      <c r="E12" s="1" t="n">
        <v>46217</v>
      </c>
      <c r="F12" t="inlineStr">
        <is>
          <t>STOCKHOLMS LÄN</t>
        </is>
      </c>
      <c r="G12" t="inlineStr">
        <is>
          <t>EKERÖ</t>
        </is>
      </c>
      <c r="I12" t="n">
        <v>4.4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s="2" t="inlineStr">
        <is>
          <t>Ekticka
Grentaggsvamp</t>
        </is>
      </c>
      <c r="V12">
        <f>HYPERLINK("https://klasma.github.io/Logging_0125/artfynd/S 2984-2023 artfynd.xlsx", "S 2984-2023")</f>
        <v/>
      </c>
      <c r="W12">
        <f>HYPERLINK("https://klasma.github.io/Logging_0125/kartor/S 2984-2023 karta.png", "S 2984-2023")</f>
        <v/>
      </c>
      <c r="Y12">
        <f>HYPERLINK("https://klasma.github.io/Logging_0125/klagomål/S 2984-2023 FSC-klagomål.docx", "S 2984-2023")</f>
        <v/>
      </c>
      <c r="Z12">
        <f>HYPERLINK("https://klasma.github.io/Logging_0125/klagomålsmail/S 2984-2023 FSC-klagomål mail.docx", "S 2984-2023")</f>
        <v/>
      </c>
      <c r="AA12">
        <f>HYPERLINK("https://klasma.github.io/Logging_0125/tillsyn/S 2984-2023 tillsynsbegäran.docx", "S 2984-2023")</f>
        <v/>
      </c>
      <c r="AB12">
        <f>HYPERLINK("https://klasma.github.io/Logging_0125/tillsynsmail/S 2984-2023 tillsynsbegäran mail.docx", "S 2984-2023")</f>
        <v/>
      </c>
    </row>
    <row r="13" ht="15" customHeight="1">
      <c r="A13" t="inlineStr">
        <is>
          <t>A 13891-2022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44646</v>
      </c>
      <c r="E13" s="1" t="n">
        <v>46217</v>
      </c>
      <c r="F13" t="inlineStr">
        <is>
          <t>STOCKHOLMS LÄN</t>
        </is>
      </c>
      <c r="G13" t="inlineStr">
        <is>
          <t>EKERÖ</t>
        </is>
      </c>
      <c r="I13" t="n">
        <v>2.3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Granbarkgnagare</t>
        </is>
      </c>
      <c r="V13">
        <f>HYPERLINK("https://klasma.github.io/Logging_0125/artfynd/A 13891-2022 artfynd.xlsx", "A 13891-2022")</f>
        <v/>
      </c>
      <c r="W13">
        <f>HYPERLINK("https://klasma.github.io/Logging_0125/kartor/A 13891-2022 karta.png", "A 13891-2022")</f>
        <v/>
      </c>
      <c r="Y13">
        <f>HYPERLINK("https://klasma.github.io/Logging_0125/klagomål/A 13891-2022 FSC-klagomål.docx", "A 13891-2022")</f>
        <v/>
      </c>
      <c r="Z13">
        <f>HYPERLINK("https://klasma.github.io/Logging_0125/klagomålsmail/A 13891-2022 FSC-klagomål mail.docx", "A 13891-2022")</f>
        <v/>
      </c>
      <c r="AA13">
        <f>HYPERLINK("https://klasma.github.io/Logging_0125/tillsyn/A 13891-2022 tillsynsbegäran.docx", "A 13891-2022")</f>
        <v/>
      </c>
      <c r="AB13">
        <f>HYPERLINK("https://klasma.github.io/Logging_0125/tillsynsmail/A 13891-2022 tillsynsbegäran mail.docx", "A 13891-2022")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46217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46217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Revlummer</t>
        </is>
      </c>
      <c r="V15">
        <f>HYPERLINK("https://klasma.github.io/Logging_0125/artfynd/A 2533-2026 artfynd.xlsx", "A 2533-2026")</f>
        <v/>
      </c>
      <c r="W15">
        <f>HYPERLINK("https://klasma.github.io/Logging_0125/kartor/A 2533-2026 karta.png", "A 2533-2026")</f>
        <v/>
      </c>
      <c r="Y15">
        <f>HYPERLINK("https://klasma.github.io/Logging_0125/klagomål/A 2533-2026 FSC-klagomål.docx", "A 2533-2026")</f>
        <v/>
      </c>
      <c r="Z15">
        <f>HYPERLINK("https://klasma.github.io/Logging_0125/klagomålsmail/A 2533-2026 FSC-klagomål mail.docx", "A 2533-2026")</f>
        <v/>
      </c>
      <c r="AA15">
        <f>HYPERLINK("https://klasma.github.io/Logging_0125/tillsyn/A 2533-2026 tillsynsbegäran.docx", "A 2533-2026")</f>
        <v/>
      </c>
      <c r="AB15">
        <f>HYPERLINK("https://klasma.github.io/Logging_0125/tillsynsmail/A 2533-2026 tillsynsbegäran mail.docx", "A 2533-2026")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46217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Tallticka</t>
        </is>
      </c>
      <c r="V16">
        <f>HYPERLINK("https://klasma.github.io/Logging_0125/artfynd/A 13794-2023 artfynd.xlsx", "A 13794-2023")</f>
        <v/>
      </c>
      <c r="W16">
        <f>HYPERLINK("https://klasma.github.io/Logging_0125/kartor/A 13794-2023 karta.png", "A 13794-2023")</f>
        <v/>
      </c>
      <c r="Y16">
        <f>HYPERLINK("https://klasma.github.io/Logging_0125/klagomål/A 13794-2023 FSC-klagomål.docx", "A 13794-2023")</f>
        <v/>
      </c>
      <c r="Z16">
        <f>HYPERLINK("https://klasma.github.io/Logging_0125/klagomålsmail/A 13794-2023 FSC-klagomål mail.docx", "A 13794-2023")</f>
        <v/>
      </c>
      <c r="AA16">
        <f>HYPERLINK("https://klasma.github.io/Logging_0125/tillsyn/A 13794-2023 tillsynsbegäran.docx", "A 13794-2023")</f>
        <v/>
      </c>
      <c r="AB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46217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s="2" t="inlineStr">
        <is>
          <t>Mistel</t>
        </is>
      </c>
      <c r="V17">
        <f>HYPERLINK("https://klasma.github.io/Logging_0125/artfynd/A 1793-2025 artfynd.xlsx", "A 1793-2025")</f>
        <v/>
      </c>
      <c r="W17">
        <f>HYPERLINK("https://klasma.github.io/Logging_0125/kartor/A 1793-2025 karta.png", "A 1793-2025")</f>
        <v/>
      </c>
      <c r="Y17">
        <f>HYPERLINK("https://klasma.github.io/Logging_0125/klagomål/A 1793-2025 FSC-klagomål.docx", "A 1793-2025")</f>
        <v/>
      </c>
      <c r="Z17">
        <f>HYPERLINK("https://klasma.github.io/Logging_0125/klagomålsmail/A 1793-2025 FSC-klagomål mail.docx", "A 1793-2025")</f>
        <v/>
      </c>
      <c r="AA17">
        <f>HYPERLINK("https://klasma.github.io/Logging_0125/tillsyn/A 1793-2025 tillsynsbegäran.docx", "A 1793-2025")</f>
        <v/>
      </c>
      <c r="AB17">
        <f>HYPERLINK("https://klasma.github.io/Logging_0125/tillsynsmail/A 1793-2025 tillsynsbegäran mail.docx", "A 1793-2025")</f>
        <v/>
      </c>
    </row>
    <row r="18" ht="15" customHeight="1">
      <c r="A18" t="inlineStr">
        <is>
          <t>A 16242-2022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44670</v>
      </c>
      <c r="E18" s="1" t="n">
        <v>46217</v>
      </c>
      <c r="F18" t="inlineStr">
        <is>
          <t>STOCKHOLMS LÄN</t>
        </is>
      </c>
      <c r="G18" t="inlineStr">
        <is>
          <t>EKERÖ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46217</v>
      </c>
      <c r="F19" t="inlineStr">
        <is>
          <t>STOCKHOLMS LÄN</t>
        </is>
      </c>
      <c r="G19" t="inlineStr">
        <is>
          <t>EKERÖ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50184-2023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46217</v>
      </c>
      <c r="F20" t="inlineStr">
        <is>
          <t>STOCKHOLMS LÄN</t>
        </is>
      </c>
      <c r="G20" t="inlineStr">
        <is>
          <t>EKERÖ</t>
        </is>
      </c>
      <c r="I20" t="n">
        <v>10.8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56002-2024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45623</v>
      </c>
      <c r="E21" s="1" t="n">
        <v>46217</v>
      </c>
      <c r="F21" t="inlineStr">
        <is>
          <t>STOCKHOLMS LÄN</t>
        </is>
      </c>
      <c r="G21" t="inlineStr">
        <is>
          <t>EKERÖ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46217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46217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46217</v>
      </c>
      <c r="F24" t="inlineStr">
        <is>
          <t>STOCKHOLMS LÄN</t>
        </is>
      </c>
      <c r="G24" t="inlineStr">
        <is>
          <t>EKERÖ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46217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46217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20898-2026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46142</v>
      </c>
      <c r="E27" s="1" t="n">
        <v>46217</v>
      </c>
      <c r="F27" t="inlineStr">
        <is>
          <t>STOCKHOLMS LÄN</t>
        </is>
      </c>
      <c r="G27" t="inlineStr">
        <is>
          <t>EKERÖ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63378-2025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46010</v>
      </c>
      <c r="E28" s="1" t="n">
        <v>46217</v>
      </c>
      <c r="F28" t="inlineStr">
        <is>
          <t>STOCKHOLMS LÄN</t>
        </is>
      </c>
      <c r="G28" t="inlineStr">
        <is>
          <t>EKERÖ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46217</v>
      </c>
      <c r="F29" t="inlineStr">
        <is>
          <t>STOCKHOLMS LÄN</t>
        </is>
      </c>
      <c r="G29" t="inlineStr">
        <is>
          <t>EKERÖ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60755-2024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46217</v>
      </c>
      <c r="F30" t="inlineStr">
        <is>
          <t>STOCKHOLMS LÄN</t>
        </is>
      </c>
      <c r="G30" t="inlineStr">
        <is>
          <t>EKERÖ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2535-2026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46037</v>
      </c>
      <c r="E31" s="1" t="n">
        <v>46217</v>
      </c>
      <c r="F31" t="inlineStr">
        <is>
          <t>STOCKHOLMS LÄN</t>
        </is>
      </c>
      <c r="G31" t="inlineStr">
        <is>
          <t>EKERÖ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55724-2024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46217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45148</v>
      </c>
      <c r="E33" s="1" t="n">
        <v>46217</v>
      </c>
      <c r="F33" t="inlineStr">
        <is>
          <t>STOCKHOLMS LÄN</t>
        </is>
      </c>
      <c r="G33" t="inlineStr">
        <is>
          <t>EKERÖ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46217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44913</v>
      </c>
      <c r="E35" s="1" t="n">
        <v>46217</v>
      </c>
      <c r="F35" t="inlineStr">
        <is>
          <t>STOCKHOLMS LÄN</t>
        </is>
      </c>
      <c r="G35" t="inlineStr">
        <is>
          <t>EKERÖ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>
      <c r="A36" t="inlineStr">
        <is>
          <t>S 1390-2026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46153</v>
      </c>
      <c r="E36" s="1" t="n">
        <v>46217</v>
      </c>
      <c r="F36" t="inlineStr">
        <is>
          <t>STOCKHOLMS LÄN</t>
        </is>
      </c>
      <c r="G36" t="inlineStr">
        <is>
          <t>EKERÖ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