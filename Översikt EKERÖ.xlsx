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45346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45346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45346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45346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45346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31167-2019</t>
        </is>
      </c>
      <c r="B7" s="1" t="n">
        <v>43635</v>
      </c>
      <c r="C7" s="1" t="n">
        <v>45346</v>
      </c>
      <c r="D7" t="inlineStr">
        <is>
          <t>STOCKHOLMS LÄN</t>
        </is>
      </c>
      <c r="E7" t="inlineStr">
        <is>
          <t>EKERÖ</t>
        </is>
      </c>
      <c r="F7" t="inlineStr">
        <is>
          <t>Övriga statliga verk och myndigheter</t>
        </is>
      </c>
      <c r="G7" t="n">
        <v>3.7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Läderbagge</t>
        </is>
      </c>
      <c r="S7">
        <f>HYPERLINK("https://klasma.github.io/Logging_0125/artfynd/A 31167-2019 artfynd.xlsx", "A 31167-2019")</f>
        <v/>
      </c>
      <c r="T7">
        <f>HYPERLINK("https://klasma.github.io/Logging_0125/kartor/A 31167-2019 karta.png", "A 31167-2019")</f>
        <v/>
      </c>
      <c r="V7">
        <f>HYPERLINK("https://klasma.github.io/Logging_0125/klagomål/A 31167-2019 FSC-klagomål.docx", "A 31167-2019")</f>
        <v/>
      </c>
      <c r="W7">
        <f>HYPERLINK("https://klasma.github.io/Logging_0125/klagomålsmail/A 31167-2019 FSC-klagomål mail.docx", "A 31167-2019")</f>
        <v/>
      </c>
      <c r="X7">
        <f>HYPERLINK("https://klasma.github.io/Logging_0125/tillsyn/A 31167-2019 tillsynsbegäran.docx", "A 31167-2019")</f>
        <v/>
      </c>
      <c r="Y7">
        <f>HYPERLINK("https://klasma.github.io/Logging_0125/tillsynsmail/A 31167-2019 tillsynsbegäran mail.docx", "A 31167-2019")</f>
        <v/>
      </c>
    </row>
    <row r="8" ht="15" customHeight="1">
      <c r="A8" t="inlineStr">
        <is>
          <t>A 54231-2019</t>
        </is>
      </c>
      <c r="B8" s="1" t="n">
        <v>43753</v>
      </c>
      <c r="C8" s="1" t="n">
        <v>45346</v>
      </c>
      <c r="D8" t="inlineStr">
        <is>
          <t>STOCKHOLMS LÄN</t>
        </is>
      </c>
      <c r="E8" t="inlineStr">
        <is>
          <t>EKERÖ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HYPERLINK("https://klasma.github.io/Logging_0125/artfynd/A 54231-2019 artfynd.xlsx", "A 54231-2019")</f>
        <v/>
      </c>
      <c r="T8">
        <f>HYPERLINK("https://klasma.github.io/Logging_0125/kartor/A 54231-2019 karta.png", "A 54231-2019")</f>
        <v/>
      </c>
      <c r="V8">
        <f>HYPERLINK("https://klasma.github.io/Logging_0125/klagomål/A 54231-2019 FSC-klagomål.docx", "A 54231-2019")</f>
        <v/>
      </c>
      <c r="W8">
        <f>HYPERLINK("https://klasma.github.io/Logging_0125/klagomålsmail/A 54231-2019 FSC-klagomål mail.docx", "A 54231-2019")</f>
        <v/>
      </c>
      <c r="X8">
        <f>HYPERLINK("https://klasma.github.io/Logging_0125/tillsyn/A 54231-2019 tillsynsbegäran.docx", "A 54231-2019")</f>
        <v/>
      </c>
      <c r="Y8">
        <f>HYPERLINK("https://klasma.github.io/Logging_0125/tillsynsmail/A 54231-2019 tillsynsbegäran mail.docx", "A 54231-2019")</f>
        <v/>
      </c>
    </row>
    <row r="9" ht="15" customHeight="1">
      <c r="A9" t="inlineStr">
        <is>
          <t>A 7032-2020</t>
        </is>
      </c>
      <c r="B9" s="1" t="n">
        <v>43868</v>
      </c>
      <c r="C9" s="1" t="n">
        <v>45346</v>
      </c>
      <c r="D9" t="inlineStr">
        <is>
          <t>STOCKHOLMS LÄN</t>
        </is>
      </c>
      <c r="E9" t="inlineStr">
        <is>
          <t>EKERÖ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HYPERLINK("https://klasma.github.io/Logging_0125/artfynd/A 7032-2020 artfynd.xlsx", "A 7032-2020")</f>
        <v/>
      </c>
      <c r="T9">
        <f>HYPERLINK("https://klasma.github.io/Logging_0125/kartor/A 7032-2020 karta.png", "A 7032-2020")</f>
        <v/>
      </c>
      <c r="V9">
        <f>HYPERLINK("https://klasma.github.io/Logging_0125/klagomål/A 7032-2020 FSC-klagomål.docx", "A 7032-2020")</f>
        <v/>
      </c>
      <c r="W9">
        <f>HYPERLINK("https://klasma.github.io/Logging_0125/klagomålsmail/A 7032-2020 FSC-klagomål mail.docx", "A 7032-2020")</f>
        <v/>
      </c>
      <c r="X9">
        <f>HYPERLINK("https://klasma.github.io/Logging_0125/tillsyn/A 7032-2020 tillsynsbegäran.docx", "A 7032-2020")</f>
        <v/>
      </c>
      <c r="Y9">
        <f>HYPERLINK("https://klasma.github.io/Logging_0125/tillsynsmail/A 7032-2020 tillsynsbegäran mail.docx", "A 7032-2020")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45346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Gul lammticka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45346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45346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14014-2023</t>
        </is>
      </c>
      <c r="B13" s="1" t="n">
        <v>45008</v>
      </c>
      <c r="C13" s="1" t="n">
        <v>45346</v>
      </c>
      <c r="D13" t="inlineStr">
        <is>
          <t>STOCKHOLMS LÄN</t>
        </is>
      </c>
      <c r="E13" t="inlineStr">
        <is>
          <t>EKERÖ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HYPERLINK("https://klasma.github.io/Logging_0125/artfynd/A 14014-2023 artfynd.xlsx", "A 14014-2023")</f>
        <v/>
      </c>
      <c r="T13">
        <f>HYPERLINK("https://klasma.github.io/Logging_0125/kartor/A 14014-2023 karta.png", "A 14014-2023")</f>
        <v/>
      </c>
      <c r="V13">
        <f>HYPERLINK("https://klasma.github.io/Logging_0125/klagomål/A 14014-2023 FSC-klagomål.docx", "A 14014-2023")</f>
        <v/>
      </c>
      <c r="W13">
        <f>HYPERLINK("https://klasma.github.io/Logging_0125/klagomålsmail/A 14014-2023 FSC-klagomål mail.docx", "A 14014-2023")</f>
        <v/>
      </c>
      <c r="X13">
        <f>HYPERLINK("https://klasma.github.io/Logging_0125/tillsyn/A 14014-2023 tillsynsbegäran.docx", "A 14014-2023")</f>
        <v/>
      </c>
      <c r="Y13">
        <f>HYPERLINK("https://klasma.github.io/Logging_0125/tillsynsmail/A 14014-2023 tillsynsbegäran mail.docx", "A 14014-2023")</f>
        <v/>
      </c>
      <c r="Z13">
        <f>HYPERLINK("https://klasma.github.io/Logging_0125/fåglar/A 14014-2023 prioriterade fågelarter.docx", "A 14014-2023")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45346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72547-2018</t>
        </is>
      </c>
      <c r="B15" s="1" t="n">
        <v>43462</v>
      </c>
      <c r="C15" s="1" t="n">
        <v>45346</v>
      </c>
      <c r="D15" t="inlineStr">
        <is>
          <t>STOCKHOLMS LÄN</t>
        </is>
      </c>
      <c r="E15" t="inlineStr">
        <is>
          <t>EKERÖ</t>
        </is>
      </c>
      <c r="F15" t="inlineStr">
        <is>
          <t>Kyrkan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5717-2019</t>
        </is>
      </c>
      <c r="B16" s="1" t="n">
        <v>43489</v>
      </c>
      <c r="C16" s="1" t="n">
        <v>45346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17487-2019</t>
        </is>
      </c>
      <c r="B17" s="1" t="n">
        <v>43553</v>
      </c>
      <c r="C17" s="1" t="n">
        <v>45346</v>
      </c>
      <c r="D17" t="inlineStr">
        <is>
          <t>STOCKHOLMS LÄN</t>
        </is>
      </c>
      <c r="E17" t="inlineStr">
        <is>
          <t>EKERÖ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17480-2019</t>
        </is>
      </c>
      <c r="B18" s="1" t="n">
        <v>43553</v>
      </c>
      <c r="C18" s="1" t="n">
        <v>45346</v>
      </c>
      <c r="D18" t="inlineStr">
        <is>
          <t>STOCKHOLMS LÄN</t>
        </is>
      </c>
      <c r="E18" t="inlineStr">
        <is>
          <t>EKERÖ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31171-2019</t>
        </is>
      </c>
      <c r="B19" s="1" t="n">
        <v>43635</v>
      </c>
      <c r="C19" s="1" t="n">
        <v>45346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45346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45346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45346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45346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45346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45346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45346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45346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45346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45346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45346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45346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45346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45346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45346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45346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45346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45346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45346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45346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45346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45346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45346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45346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45346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45346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45346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45346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45346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45346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45346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48839-2023</t>
        </is>
      </c>
      <c r="B51" s="1" t="n">
        <v>45209</v>
      </c>
      <c r="C51" s="1" t="n">
        <v>45346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2024-02-24T12:35:42Z</dcterms:created>
  <dcterms:modified xmlns:dcterms="http://purl.org/dc/terms/" xmlns:xsi="http://www.w3.org/2001/XMLSchema-instance" xsi:type="dcterms:W3CDTF">2024-02-24T12:35:42Z</dcterms:modified>
</cp:coreProperties>
</file>