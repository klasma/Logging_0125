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46189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46189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46189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46189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46189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46189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Ängsvaxing agg.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46189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35953-2023</t>
        </is>
      </c>
      <c r="B9" s="1" t="n">
        <v>45148</v>
      </c>
      <c r="C9" s="1" t="n">
        <v>46189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Vanlig groda</t>
        </is>
      </c>
      <c r="S9">
        <f>HYPERLINK("https://klasma.github.io/Logging_0125/artfynd/A 35953-2023 artfynd.xlsx", "A 35953-2023")</f>
        <v/>
      </c>
      <c r="T9">
        <f>HYPERLINK("https://klasma.github.io/Logging_0125/kartor/A 35953-2023 karta.png", "A 35953-2023")</f>
        <v/>
      </c>
      <c r="V9">
        <f>HYPERLINK("https://klasma.github.io/Logging_0125/klagomål/A 35953-2023 FSC-klagomål.docx", "A 35953-2023")</f>
        <v/>
      </c>
      <c r="W9">
        <f>HYPERLINK("https://klasma.github.io/Logging_0125/klagomålsmail/A 35953-2023 FSC-klagomål mail.docx", "A 35953-2023")</f>
        <v/>
      </c>
      <c r="X9">
        <f>HYPERLINK("https://klasma.github.io/Logging_0125/tillsyn/A 35953-2023 tillsynsbegäran.docx", "A 35953-2023")</f>
        <v/>
      </c>
      <c r="Y9">
        <f>HYPERLINK("https://klasma.github.io/Logging_0125/tillsynsmail/A 35953-2023 tillsynsbegäran mail.docx", "A 35953-2023")</f>
        <v/>
      </c>
    </row>
    <row r="10" ht="15" customHeight="1">
      <c r="A10" t="inlineStr">
        <is>
          <t>A 13891-2022</t>
        </is>
      </c>
      <c r="B10" s="1" t="n">
        <v>44646</v>
      </c>
      <c r="C10" s="1" t="n">
        <v>46189</v>
      </c>
      <c r="D10" t="inlineStr">
        <is>
          <t>STOCKHOLMS LÄN</t>
        </is>
      </c>
      <c r="E10" t="inlineStr">
        <is>
          <t>EKERÖ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Granbarkgnagare</t>
        </is>
      </c>
      <c r="S10">
        <f>HYPERLINK("https://klasma.github.io/Logging_0125/artfynd/A 13891-2022 artfynd.xlsx", "A 13891-2022")</f>
        <v/>
      </c>
      <c r="T10">
        <f>HYPERLINK("https://klasma.github.io/Logging_0125/kartor/A 13891-2022 karta.png", "A 13891-2022")</f>
        <v/>
      </c>
      <c r="V10">
        <f>HYPERLINK("https://klasma.github.io/Logging_0125/klagomål/A 13891-2022 FSC-klagomål.docx", "A 13891-2022")</f>
        <v/>
      </c>
      <c r="W10">
        <f>HYPERLINK("https://klasma.github.io/Logging_0125/klagomålsmail/A 13891-2022 FSC-klagomål mail.docx", "A 13891-2022")</f>
        <v/>
      </c>
      <c r="X10">
        <f>HYPERLINK("https://klasma.github.io/Logging_0125/tillsyn/A 13891-2022 tillsynsbegäran.docx", "A 13891-2022")</f>
        <v/>
      </c>
      <c r="Y10">
        <f>HYPERLINK("https://klasma.github.io/Logging_0125/tillsynsmail/A 13891-2022 tillsynsbegäran mail.docx", "A 13891-2022")</f>
        <v/>
      </c>
    </row>
    <row r="11" ht="15" customHeight="1">
      <c r="A11" t="inlineStr">
        <is>
          <t>A 13794-2023</t>
        </is>
      </c>
      <c r="B11" s="1" t="n">
        <v>45007</v>
      </c>
      <c r="C11" s="1" t="n">
        <v>46189</v>
      </c>
      <c r="D11" t="inlineStr">
        <is>
          <t>STOCKHOLMS LÄN</t>
        </is>
      </c>
      <c r="E11" t="inlineStr">
        <is>
          <t>EKERÖ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HYPERLINK("https://klasma.github.io/Logging_0125/artfynd/A 13794-2023 artfynd.xlsx", "A 13794-2023")</f>
        <v/>
      </c>
      <c r="T11">
        <f>HYPERLINK("https://klasma.github.io/Logging_0125/kartor/A 13794-2023 karta.png", "A 13794-2023")</f>
        <v/>
      </c>
      <c r="V11">
        <f>HYPERLINK("https://klasma.github.io/Logging_0125/klagomål/A 13794-2023 FSC-klagomål.docx", "A 13794-2023")</f>
        <v/>
      </c>
      <c r="W11">
        <f>HYPERLINK("https://klasma.github.io/Logging_0125/klagomålsmail/A 13794-2023 FSC-klagomål mail.docx", "A 13794-2023")</f>
        <v/>
      </c>
      <c r="X11">
        <f>HYPERLINK("https://klasma.github.io/Logging_0125/tillsyn/A 13794-2023 tillsynsbegäran.docx", "A 13794-2023")</f>
        <v/>
      </c>
      <c r="Y11">
        <f>HYPERLINK("https://klasma.github.io/Logging_0125/tillsynsmail/A 13794-2023 tillsynsbegäran mail.docx", "A 13794-2023")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46189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17520-2026</t>
        </is>
      </c>
      <c r="B13" s="1" t="n">
        <v>46119</v>
      </c>
      <c r="C13" s="1" t="n">
        <v>46189</v>
      </c>
      <c r="D13" t="inlineStr">
        <is>
          <t>STOCKHOLMS LÄN</t>
        </is>
      </c>
      <c r="E13" t="inlineStr">
        <is>
          <t>EKERÖ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Gulgrön kantmusseron</t>
        </is>
      </c>
      <c r="S13">
        <f>HYPERLINK("https://klasma.github.io/Logging_0125/artfynd/A 17520-2026 artfynd.xlsx", "A 17520-2026")</f>
        <v/>
      </c>
      <c r="T13">
        <f>HYPERLINK("https://klasma.github.io/Logging_0125/kartor/A 17520-2026 karta.png", "A 17520-2026")</f>
        <v/>
      </c>
      <c r="V13">
        <f>HYPERLINK("https://klasma.github.io/Logging_0125/klagomål/A 17520-2026 FSC-klagomål.docx", "A 17520-2026")</f>
        <v/>
      </c>
      <c r="W13">
        <f>HYPERLINK("https://klasma.github.io/Logging_0125/klagomålsmail/A 17520-2026 FSC-klagomål mail.docx", "A 17520-2026")</f>
        <v/>
      </c>
      <c r="X13">
        <f>HYPERLINK("https://klasma.github.io/Logging_0125/tillsyn/A 17520-2026 tillsynsbegäran.docx", "A 17520-2026")</f>
        <v/>
      </c>
      <c r="Y13">
        <f>HYPERLINK("https://klasma.github.io/Logging_0125/tillsynsmail/A 17520-2026 tillsynsbegäran mail.docx", "A 17520-2026")</f>
        <v/>
      </c>
    </row>
    <row r="14" ht="15" customHeight="1">
      <c r="A14" t="inlineStr">
        <is>
          <t>A 16242-2022</t>
        </is>
      </c>
      <c r="B14" s="1" t="n">
        <v>44670</v>
      </c>
      <c r="C14" s="1" t="n">
        <v>46189</v>
      </c>
      <c r="D14" t="inlineStr">
        <is>
          <t>STOCKHOLMS LÄN</t>
        </is>
      </c>
      <c r="E14" t="inlineStr">
        <is>
          <t>EKERÖ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36063-2022</t>
        </is>
      </c>
      <c r="B15" s="1" t="n">
        <v>44802</v>
      </c>
      <c r="C15" s="1" t="n">
        <v>46189</v>
      </c>
      <c r="D15" t="inlineStr">
        <is>
          <t>STOCKHOLMS LÄN</t>
        </is>
      </c>
      <c r="E15" t="inlineStr">
        <is>
          <t>EKERÖ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50184-2023</t>
        </is>
      </c>
      <c r="B16" s="1" t="n">
        <v>45208</v>
      </c>
      <c r="C16" s="1" t="n">
        <v>46189</v>
      </c>
      <c r="D16" t="inlineStr">
        <is>
          <t>STOCKHOLMS LÄN</t>
        </is>
      </c>
      <c r="E16" t="inlineStr">
        <is>
          <t>EKERÖ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56002-2024</t>
        </is>
      </c>
      <c r="B17" s="1" t="n">
        <v>45623.7328587963</v>
      </c>
      <c r="C17" s="1" t="n">
        <v>46189</v>
      </c>
      <c r="D17" t="inlineStr">
        <is>
          <t>STOCKHOLMS LÄN</t>
        </is>
      </c>
      <c r="E17" t="inlineStr">
        <is>
          <t>EKERÖ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61217-2024</t>
        </is>
      </c>
      <c r="B18" s="1" t="n">
        <v>45645.65825231482</v>
      </c>
      <c r="C18" s="1" t="n">
        <v>46189</v>
      </c>
      <c r="D18" t="inlineStr">
        <is>
          <t>STOCKHOLMS LÄN</t>
        </is>
      </c>
      <c r="E18" t="inlineStr">
        <is>
          <t>EKERÖ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3222-2022</t>
        </is>
      </c>
      <c r="B19" s="1" t="n">
        <v>44582</v>
      </c>
      <c r="C19" s="1" t="n">
        <v>46189</v>
      </c>
      <c r="D19" t="inlineStr">
        <is>
          <t>STOCKHOLMS LÄN</t>
        </is>
      </c>
      <c r="E19" t="inlineStr">
        <is>
          <t>EKERÖ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46189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46189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60755-2024</t>
        </is>
      </c>
      <c r="B22" s="1" t="n">
        <v>45644.56945601852</v>
      </c>
      <c r="C22" s="1" t="n">
        <v>46189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55724-2024</t>
        </is>
      </c>
      <c r="B23" s="1" t="n">
        <v>45622.81020833334</v>
      </c>
      <c r="C23" s="1" t="n">
        <v>46189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35955-2023</t>
        </is>
      </c>
      <c r="B24" s="1" t="n">
        <v>45148</v>
      </c>
      <c r="C24" s="1" t="n">
        <v>46189</v>
      </c>
      <c r="D24" t="inlineStr">
        <is>
          <t>STOCKHOLMS LÄN</t>
        </is>
      </c>
      <c r="E24" t="inlineStr">
        <is>
          <t>EKERÖ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63378-2025</t>
        </is>
      </c>
      <c r="B25" s="1" t="n">
        <v>46010.72528935185</v>
      </c>
      <c r="C25" s="1" t="n">
        <v>46189</v>
      </c>
      <c r="D25" t="inlineStr">
        <is>
          <t>STOCKHOLMS LÄN</t>
        </is>
      </c>
      <c r="E25" t="inlineStr">
        <is>
          <t>EKERÖ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2533-2026</t>
        </is>
      </c>
      <c r="B26" s="1" t="n">
        <v>46037</v>
      </c>
      <c r="C26" s="1" t="n">
        <v>46189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2535-2026</t>
        </is>
      </c>
      <c r="B27" s="1" t="n">
        <v>46037.4490625</v>
      </c>
      <c r="C27" s="1" t="n">
        <v>46189</v>
      </c>
      <c r="D27" t="inlineStr">
        <is>
          <t>STOCKHOLMS LÄN</t>
        </is>
      </c>
      <c r="E27" t="inlineStr">
        <is>
          <t>EKERÖ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60728-2022</t>
        </is>
      </c>
      <c r="B28" s="1" t="n">
        <v>44913</v>
      </c>
      <c r="C28" s="1" t="n">
        <v>46189</v>
      </c>
      <c r="D28" t="inlineStr">
        <is>
          <t>STOCKHOLMS LÄN</t>
        </is>
      </c>
      <c r="E28" t="inlineStr">
        <is>
          <t>EKERÖ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48839-2023</t>
        </is>
      </c>
      <c r="B29" s="1" t="n">
        <v>45209</v>
      </c>
      <c r="C29" s="1" t="n">
        <v>46189</v>
      </c>
      <c r="D29" t="inlineStr">
        <is>
          <t>STOCKHOLMS LÄN</t>
        </is>
      </c>
      <c r="E29" t="inlineStr">
        <is>
          <t>EKERÖ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46189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26600-2025</t>
        </is>
      </c>
      <c r="B31" s="1" t="n">
        <v>45808.54792824074</v>
      </c>
      <c r="C31" s="1" t="n">
        <v>46189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20399-2026</t>
        </is>
      </c>
      <c r="B32" s="1" t="n">
        <v>46139</v>
      </c>
      <c r="C32" s="1" t="n">
        <v>46189</v>
      </c>
      <c r="D32" t="inlineStr">
        <is>
          <t>STOCKHOLMS LÄN</t>
        </is>
      </c>
      <c r="E32" t="inlineStr">
        <is>
          <t>EKERÖ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20398-2026</t>
        </is>
      </c>
      <c r="B33" s="1" t="n">
        <v>46139</v>
      </c>
      <c r="C33" s="1" t="n">
        <v>46189</v>
      </c>
      <c r="D33" t="inlineStr">
        <is>
          <t>STOCKHOLMS LÄN</t>
        </is>
      </c>
      <c r="E33" t="inlineStr">
        <is>
          <t>EKERÖ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34073-2025</t>
        </is>
      </c>
      <c r="B34" s="1" t="n">
        <v>45845</v>
      </c>
      <c r="C34" s="1" t="n">
        <v>46189</v>
      </c>
      <c r="D34" t="inlineStr">
        <is>
          <t>STOCKHOLMS LÄN</t>
        </is>
      </c>
      <c r="E34" t="inlineStr">
        <is>
          <t>EKERÖ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20898-2026</t>
        </is>
      </c>
      <c r="B35" s="1" t="n">
        <v>46142.45217592592</v>
      </c>
      <c r="C35" s="1" t="n">
        <v>46189</v>
      </c>
      <c r="D35" t="inlineStr">
        <is>
          <t>STOCKHOLMS LÄN</t>
        </is>
      </c>
      <c r="E35" t="inlineStr">
        <is>
          <t>EKERÖ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37245-2025</t>
        </is>
      </c>
      <c r="B36" s="1" t="n">
        <v>45876.39396990741</v>
      </c>
      <c r="C36" s="1" t="n">
        <v>46189</v>
      </c>
      <c r="D36" t="inlineStr">
        <is>
          <t>STOCKHOLMS LÄN</t>
        </is>
      </c>
      <c r="E36" t="inlineStr">
        <is>
          <t>EKERÖ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2026-06-16T12:55:12Z</dcterms:created>
  <dcterms:modified xmlns:dcterms="http://purl.org/dc/terms/" xmlns:xsi="http://www.w3.org/2001/XMLSchema-instance" xsi:type="dcterms:W3CDTF">2026-06-16T12:55:12Z</dcterms:modified>
</cp:coreProperties>
</file>