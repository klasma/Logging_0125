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45352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45352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45352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11803-2022</t>
        </is>
      </c>
      <c r="B5" s="1" t="n">
        <v>44634</v>
      </c>
      <c r="C5" s="1" t="n">
        <v>45352</v>
      </c>
      <c r="D5" t="inlineStr">
        <is>
          <t>STOCKHOLMS LÄN</t>
        </is>
      </c>
      <c r="E5" t="inlineStr">
        <is>
          <t>EKERÖ</t>
        </is>
      </c>
      <c r="G5" t="n">
        <v>2.7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Backklöver
Solvända
Gullviva</t>
        </is>
      </c>
      <c r="S5">
        <f>HYPERLINK("https://klasma.github.io/Logging_0125/artfynd/A 11803-2022 artfynd.xlsx", "A 11803-2022")</f>
        <v/>
      </c>
      <c r="T5">
        <f>HYPERLINK("https://klasma.github.io/Logging_0125/kartor/A 11803-2022 karta.png", "A 11803-2022")</f>
        <v/>
      </c>
      <c r="V5">
        <f>HYPERLINK("https://klasma.github.io/Logging_0125/klagomål/A 11803-2022 FSC-klagomål.docx", "A 11803-2022")</f>
        <v/>
      </c>
      <c r="W5">
        <f>HYPERLINK("https://klasma.github.io/Logging_0125/klagomålsmail/A 11803-2022 FSC-klagomål mail.docx", "A 11803-2022")</f>
        <v/>
      </c>
      <c r="X5">
        <f>HYPERLINK("https://klasma.github.io/Logging_0125/tillsyn/A 11803-2022 tillsynsbegäran.docx", "A 11803-2022")</f>
        <v/>
      </c>
      <c r="Y5">
        <f>HYPERLINK("https://klasma.github.io/Logging_0125/tillsynsmail/A 11803-2022 tillsynsbegäran mail.docx", "A 11803-2022")</f>
        <v/>
      </c>
    </row>
    <row r="6" ht="15" customHeight="1">
      <c r="A6" t="inlineStr">
        <is>
          <t>A 13237-2023</t>
        </is>
      </c>
      <c r="B6" s="1" t="n">
        <v>45002</v>
      </c>
      <c r="C6" s="1" t="n">
        <v>45352</v>
      </c>
      <c r="D6" t="inlineStr">
        <is>
          <t>STOCKHOLMS LÄN</t>
        </is>
      </c>
      <c r="E6" t="inlineStr">
        <is>
          <t>EKERÖ</t>
        </is>
      </c>
      <c r="F6" t="inlineStr">
        <is>
          <t>Kommuner</t>
        </is>
      </c>
      <c r="G6" t="n">
        <v>9.300000000000001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Granbarkgnagare
Blåsippa</t>
        </is>
      </c>
      <c r="S6">
        <f>HYPERLINK("https://klasma.github.io/Logging_0125/artfynd/A 13237-2023 artfynd.xlsx", "A 13237-2023")</f>
        <v/>
      </c>
      <c r="T6">
        <f>HYPERLINK("https://klasma.github.io/Logging_0125/kartor/A 13237-2023 karta.png", "A 13237-2023")</f>
        <v/>
      </c>
      <c r="V6">
        <f>HYPERLINK("https://klasma.github.io/Logging_0125/klagomål/A 13237-2023 FSC-klagomål.docx", "A 13237-2023")</f>
        <v/>
      </c>
      <c r="W6">
        <f>HYPERLINK("https://klasma.github.io/Logging_0125/klagomålsmail/A 13237-2023 FSC-klagomål mail.docx", "A 13237-2023")</f>
        <v/>
      </c>
      <c r="X6">
        <f>HYPERLINK("https://klasma.github.io/Logging_0125/tillsyn/A 13237-2023 tillsynsbegäran.docx", "A 13237-2023")</f>
        <v/>
      </c>
      <c r="Y6">
        <f>HYPERLINK("https://klasma.github.io/Logging_0125/tillsynsmail/A 13237-2023 tillsynsbegäran mail.docx", "A 13237-2023")</f>
        <v/>
      </c>
    </row>
    <row r="7" ht="15" customHeight="1">
      <c r="A7" t="inlineStr">
        <is>
          <t>A 31167-2019</t>
        </is>
      </c>
      <c r="B7" s="1" t="n">
        <v>43635</v>
      </c>
      <c r="C7" s="1" t="n">
        <v>45352</v>
      </c>
      <c r="D7" t="inlineStr">
        <is>
          <t>STOCKHOLMS LÄN</t>
        </is>
      </c>
      <c r="E7" t="inlineStr">
        <is>
          <t>EKERÖ</t>
        </is>
      </c>
      <c r="F7" t="inlineStr">
        <is>
          <t>Övriga statliga verk och myndigheter</t>
        </is>
      </c>
      <c r="G7" t="n">
        <v>3.7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Läderbagge</t>
        </is>
      </c>
      <c r="S7">
        <f>HYPERLINK("https://klasma.github.io/Logging_0125/artfynd/A 31167-2019 artfynd.xlsx", "A 31167-2019")</f>
        <v/>
      </c>
      <c r="T7">
        <f>HYPERLINK("https://klasma.github.io/Logging_0125/kartor/A 31167-2019 karta.png", "A 31167-2019")</f>
        <v/>
      </c>
      <c r="V7">
        <f>HYPERLINK("https://klasma.github.io/Logging_0125/klagomål/A 31167-2019 FSC-klagomål.docx", "A 31167-2019")</f>
        <v/>
      </c>
      <c r="W7">
        <f>HYPERLINK("https://klasma.github.io/Logging_0125/klagomålsmail/A 31167-2019 FSC-klagomål mail.docx", "A 31167-2019")</f>
        <v/>
      </c>
      <c r="X7">
        <f>HYPERLINK("https://klasma.github.io/Logging_0125/tillsyn/A 31167-2019 tillsynsbegäran.docx", "A 31167-2019")</f>
        <v/>
      </c>
      <c r="Y7">
        <f>HYPERLINK("https://klasma.github.io/Logging_0125/tillsynsmail/A 31167-2019 tillsynsbegäran mail.docx", "A 31167-2019")</f>
        <v/>
      </c>
    </row>
    <row r="8" ht="15" customHeight="1">
      <c r="A8" t="inlineStr">
        <is>
          <t>A 54231-2019</t>
        </is>
      </c>
      <c r="B8" s="1" t="n">
        <v>43753</v>
      </c>
      <c r="C8" s="1" t="n">
        <v>45352</v>
      </c>
      <c r="D8" t="inlineStr">
        <is>
          <t>STOCKHOLMS LÄN</t>
        </is>
      </c>
      <c r="E8" t="inlineStr">
        <is>
          <t>EKERÖ</t>
        </is>
      </c>
      <c r="G8" t="n">
        <v>6.2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Bombmurkla</t>
        </is>
      </c>
      <c r="S8">
        <f>HYPERLINK("https://klasma.github.io/Logging_0125/artfynd/A 54231-2019 artfynd.xlsx", "A 54231-2019")</f>
        <v/>
      </c>
      <c r="T8">
        <f>HYPERLINK("https://klasma.github.io/Logging_0125/kartor/A 54231-2019 karta.png", "A 54231-2019")</f>
        <v/>
      </c>
      <c r="V8">
        <f>HYPERLINK("https://klasma.github.io/Logging_0125/klagomål/A 54231-2019 FSC-klagomål.docx", "A 54231-2019")</f>
        <v/>
      </c>
      <c r="W8">
        <f>HYPERLINK("https://klasma.github.io/Logging_0125/klagomålsmail/A 54231-2019 FSC-klagomål mail.docx", "A 54231-2019")</f>
        <v/>
      </c>
      <c r="X8">
        <f>HYPERLINK("https://klasma.github.io/Logging_0125/tillsyn/A 54231-2019 tillsynsbegäran.docx", "A 54231-2019")</f>
        <v/>
      </c>
      <c r="Y8">
        <f>HYPERLINK("https://klasma.github.io/Logging_0125/tillsynsmail/A 54231-2019 tillsynsbegäran mail.docx", "A 54231-2019")</f>
        <v/>
      </c>
    </row>
    <row r="9" ht="15" customHeight="1">
      <c r="A9" t="inlineStr">
        <is>
          <t>A 7032-2020</t>
        </is>
      </c>
      <c r="B9" s="1" t="n">
        <v>43868</v>
      </c>
      <c r="C9" s="1" t="n">
        <v>45352</v>
      </c>
      <c r="D9" t="inlineStr">
        <is>
          <t>STOCKHOLMS LÄN</t>
        </is>
      </c>
      <c r="E9" t="inlineStr">
        <is>
          <t>EKERÖ</t>
        </is>
      </c>
      <c r="G9" t="n">
        <v>3.1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HYPERLINK("https://klasma.github.io/Logging_0125/artfynd/A 7032-2020 artfynd.xlsx", "A 7032-2020")</f>
        <v/>
      </c>
      <c r="T9">
        <f>HYPERLINK("https://klasma.github.io/Logging_0125/kartor/A 7032-2020 karta.png", "A 7032-2020")</f>
        <v/>
      </c>
      <c r="V9">
        <f>HYPERLINK("https://klasma.github.io/Logging_0125/klagomål/A 7032-2020 FSC-klagomål.docx", "A 7032-2020")</f>
        <v/>
      </c>
      <c r="W9">
        <f>HYPERLINK("https://klasma.github.io/Logging_0125/klagomålsmail/A 7032-2020 FSC-klagomål mail.docx", "A 7032-2020")</f>
        <v/>
      </c>
      <c r="X9">
        <f>HYPERLINK("https://klasma.github.io/Logging_0125/tillsyn/A 7032-2020 tillsynsbegäran.docx", "A 7032-2020")</f>
        <v/>
      </c>
      <c r="Y9">
        <f>HYPERLINK("https://klasma.github.io/Logging_0125/tillsynsmail/A 7032-2020 tillsynsbegäran mail.docx", "A 7032-2020")</f>
        <v/>
      </c>
    </row>
    <row r="10" ht="15" customHeight="1">
      <c r="A10" t="inlineStr">
        <is>
          <t>A 3218-2022</t>
        </is>
      </c>
      <c r="B10" s="1" t="n">
        <v>44582</v>
      </c>
      <c r="C10" s="1" t="n">
        <v>45352</v>
      </c>
      <c r="D10" t="inlineStr">
        <is>
          <t>STOCKHOLMS LÄN</t>
        </is>
      </c>
      <c r="E10" t="inlineStr">
        <is>
          <t>EKERÖ</t>
        </is>
      </c>
      <c r="G10" t="n">
        <v>1.2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Gul lammticka</t>
        </is>
      </c>
      <c r="S10">
        <f>HYPERLINK("https://klasma.github.io/Logging_0125/artfynd/A 3218-2022 artfynd.xlsx", "A 3218-2022")</f>
        <v/>
      </c>
      <c r="T10">
        <f>HYPERLINK("https://klasma.github.io/Logging_0125/kartor/A 3218-2022 karta.png", "A 3218-2022")</f>
        <v/>
      </c>
      <c r="V10">
        <f>HYPERLINK("https://klasma.github.io/Logging_0125/klagomål/A 3218-2022 FSC-klagomål.docx", "A 3218-2022")</f>
        <v/>
      </c>
      <c r="W10">
        <f>HYPERLINK("https://klasma.github.io/Logging_0125/klagomålsmail/A 3218-2022 FSC-klagomål mail.docx", "A 3218-2022")</f>
        <v/>
      </c>
      <c r="X10">
        <f>HYPERLINK("https://klasma.github.io/Logging_0125/tillsyn/A 3218-2022 tillsynsbegäran.docx", "A 3218-2022")</f>
        <v/>
      </c>
      <c r="Y10">
        <f>HYPERLINK("https://klasma.github.io/Logging_0125/tillsynsmail/A 3218-2022 tillsynsbegäran mail.docx", "A 3218-2022")</f>
        <v/>
      </c>
    </row>
    <row r="11" ht="15" customHeight="1">
      <c r="A11" t="inlineStr">
        <is>
          <t>A 13891-2022</t>
        </is>
      </c>
      <c r="B11" s="1" t="n">
        <v>44646</v>
      </c>
      <c r="C11" s="1" t="n">
        <v>45352</v>
      </c>
      <c r="D11" t="inlineStr">
        <is>
          <t>STOCKHOLMS LÄN</t>
        </is>
      </c>
      <c r="E11" t="inlineStr">
        <is>
          <t>EKERÖ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Granbarkgnagare</t>
        </is>
      </c>
      <c r="S11">
        <f>HYPERLINK("https://klasma.github.io/Logging_0125/artfynd/A 13891-2022 artfynd.xlsx", "A 13891-2022")</f>
        <v/>
      </c>
      <c r="T11">
        <f>HYPERLINK("https://klasma.github.io/Logging_0125/kartor/A 13891-2022 karta.png", "A 13891-2022")</f>
        <v/>
      </c>
      <c r="V11">
        <f>HYPERLINK("https://klasma.github.io/Logging_0125/klagomål/A 13891-2022 FSC-klagomål.docx", "A 13891-2022")</f>
        <v/>
      </c>
      <c r="W11">
        <f>HYPERLINK("https://klasma.github.io/Logging_0125/klagomålsmail/A 13891-2022 FSC-klagomål mail.docx", "A 13891-2022")</f>
        <v/>
      </c>
      <c r="X11">
        <f>HYPERLINK("https://klasma.github.io/Logging_0125/tillsyn/A 13891-2022 tillsynsbegäran.docx", "A 13891-2022")</f>
        <v/>
      </c>
      <c r="Y11">
        <f>HYPERLINK("https://klasma.github.io/Logging_0125/tillsynsmail/A 13891-2022 tillsynsbegäran mail.docx", "A 13891-2022")</f>
        <v/>
      </c>
    </row>
    <row r="12" ht="15" customHeight="1">
      <c r="A12" t="inlineStr">
        <is>
          <t>A 13794-2023</t>
        </is>
      </c>
      <c r="B12" s="1" t="n">
        <v>45007</v>
      </c>
      <c r="C12" s="1" t="n">
        <v>45352</v>
      </c>
      <c r="D12" t="inlineStr">
        <is>
          <t>STOCKHOLMS LÄN</t>
        </is>
      </c>
      <c r="E12" t="inlineStr">
        <is>
          <t>EKERÖ</t>
        </is>
      </c>
      <c r="G12" t="n">
        <v>4.8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HYPERLINK("https://klasma.github.io/Logging_0125/artfynd/A 13794-2023 artfynd.xlsx", "A 13794-2023")</f>
        <v/>
      </c>
      <c r="T12">
        <f>HYPERLINK("https://klasma.github.io/Logging_0125/kartor/A 13794-2023 karta.png", "A 13794-2023")</f>
        <v/>
      </c>
      <c r="V12">
        <f>HYPERLINK("https://klasma.github.io/Logging_0125/klagomål/A 13794-2023 FSC-klagomål.docx", "A 13794-2023")</f>
        <v/>
      </c>
      <c r="W12">
        <f>HYPERLINK("https://klasma.github.io/Logging_0125/klagomålsmail/A 13794-2023 FSC-klagomål mail.docx", "A 13794-2023")</f>
        <v/>
      </c>
      <c r="X12">
        <f>HYPERLINK("https://klasma.github.io/Logging_0125/tillsyn/A 13794-2023 tillsynsbegäran.docx", "A 13794-2023")</f>
        <v/>
      </c>
      <c r="Y12">
        <f>HYPERLINK("https://klasma.github.io/Logging_0125/tillsynsmail/A 13794-2023 tillsynsbegäran mail.docx", "A 13794-2023")</f>
        <v/>
      </c>
    </row>
    <row r="13" ht="15" customHeight="1">
      <c r="A13" t="inlineStr">
        <is>
          <t>A 14014-2023</t>
        </is>
      </c>
      <c r="B13" s="1" t="n">
        <v>45008</v>
      </c>
      <c r="C13" s="1" t="n">
        <v>45352</v>
      </c>
      <c r="D13" t="inlineStr">
        <is>
          <t>STOCKHOLMS LÄN</t>
        </is>
      </c>
      <c r="E13" t="inlineStr">
        <is>
          <t>EKERÖ</t>
        </is>
      </c>
      <c r="G13" t="n">
        <v>4.7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Gröngöling</t>
        </is>
      </c>
      <c r="S13">
        <f>HYPERLINK("https://klasma.github.io/Logging_0125/artfynd/A 14014-2023 artfynd.xlsx", "A 14014-2023")</f>
        <v/>
      </c>
      <c r="T13">
        <f>HYPERLINK("https://klasma.github.io/Logging_0125/kartor/A 14014-2023 karta.png", "A 14014-2023")</f>
        <v/>
      </c>
      <c r="V13">
        <f>HYPERLINK("https://klasma.github.io/Logging_0125/klagomål/A 14014-2023 FSC-klagomål.docx", "A 14014-2023")</f>
        <v/>
      </c>
      <c r="W13">
        <f>HYPERLINK("https://klasma.github.io/Logging_0125/klagomålsmail/A 14014-2023 FSC-klagomål mail.docx", "A 14014-2023")</f>
        <v/>
      </c>
      <c r="X13">
        <f>HYPERLINK("https://klasma.github.io/Logging_0125/tillsyn/A 14014-2023 tillsynsbegäran.docx", "A 14014-2023")</f>
        <v/>
      </c>
      <c r="Y13">
        <f>HYPERLINK("https://klasma.github.io/Logging_0125/tillsynsmail/A 14014-2023 tillsynsbegäran mail.docx", "A 14014-2023")</f>
        <v/>
      </c>
      <c r="Z13">
        <f>HYPERLINK("https://klasma.github.io/Logging_0125/fåglar/A 14014-2023 prioriterade fågelarter.docx", "A 14014-2023")</f>
        <v/>
      </c>
    </row>
    <row r="14" ht="15" customHeight="1">
      <c r="A14" t="inlineStr">
        <is>
          <t>A 35953-2023</t>
        </is>
      </c>
      <c r="B14" s="1" t="n">
        <v>45148</v>
      </c>
      <c r="C14" s="1" t="n">
        <v>45352</v>
      </c>
      <c r="D14" t="inlineStr">
        <is>
          <t>STOCKHOLMS LÄN</t>
        </is>
      </c>
      <c r="E14" t="inlineStr">
        <is>
          <t>EKERÖ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HYPERLINK("https://klasma.github.io/Logging_0125/artfynd/A 35953-2023 artfynd.xlsx", "A 35953-2023")</f>
        <v/>
      </c>
      <c r="T14">
        <f>HYPERLINK("https://klasma.github.io/Logging_0125/kartor/A 35953-2023 karta.png", "A 35953-2023")</f>
        <v/>
      </c>
      <c r="V14">
        <f>HYPERLINK("https://klasma.github.io/Logging_0125/klagomål/A 35953-2023 FSC-klagomål.docx", "A 35953-2023")</f>
        <v/>
      </c>
      <c r="W14">
        <f>HYPERLINK("https://klasma.github.io/Logging_0125/klagomålsmail/A 35953-2023 FSC-klagomål mail.docx", "A 35953-2023")</f>
        <v/>
      </c>
      <c r="X14">
        <f>HYPERLINK("https://klasma.github.io/Logging_0125/tillsyn/A 35953-2023 tillsynsbegäran.docx", "A 35953-2023")</f>
        <v/>
      </c>
      <c r="Y14">
        <f>HYPERLINK("https://klasma.github.io/Logging_0125/tillsynsmail/A 35953-2023 tillsynsbegäran mail.docx", "A 35953-2023")</f>
        <v/>
      </c>
    </row>
    <row r="15" ht="15" customHeight="1">
      <c r="A15" t="inlineStr">
        <is>
          <t>A 72547-2018</t>
        </is>
      </c>
      <c r="B15" s="1" t="n">
        <v>43462</v>
      </c>
      <c r="C15" s="1" t="n">
        <v>45352</v>
      </c>
      <c r="D15" t="inlineStr">
        <is>
          <t>STOCKHOLMS LÄN</t>
        </is>
      </c>
      <c r="E15" t="inlineStr">
        <is>
          <t>EKERÖ</t>
        </is>
      </c>
      <c r="F15" t="inlineStr">
        <is>
          <t>Kyrkan</t>
        </is>
      </c>
      <c r="G15" t="n">
        <v>5.1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5717-2019</t>
        </is>
      </c>
      <c r="B16" s="1" t="n">
        <v>43489</v>
      </c>
      <c r="C16" s="1" t="n">
        <v>45352</v>
      </c>
      <c r="D16" t="inlineStr">
        <is>
          <t>STOCKHOLMS LÄN</t>
        </is>
      </c>
      <c r="E16" t="inlineStr">
        <is>
          <t>EKERÖ</t>
        </is>
      </c>
      <c r="F16" t="inlineStr">
        <is>
          <t>Övriga statliga verk och myndigheter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17487-2019</t>
        </is>
      </c>
      <c r="B17" s="1" t="n">
        <v>43553</v>
      </c>
      <c r="C17" s="1" t="n">
        <v>45352</v>
      </c>
      <c r="D17" t="inlineStr">
        <is>
          <t>STOCKHOLMS LÄN</t>
        </is>
      </c>
      <c r="E17" t="inlineStr">
        <is>
          <t>EKERÖ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17480-2019</t>
        </is>
      </c>
      <c r="B18" s="1" t="n">
        <v>43553</v>
      </c>
      <c r="C18" s="1" t="n">
        <v>45352</v>
      </c>
      <c r="D18" t="inlineStr">
        <is>
          <t>STOCKHOLMS LÄN</t>
        </is>
      </c>
      <c r="E18" t="inlineStr">
        <is>
          <t>EKERÖ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31171-2019</t>
        </is>
      </c>
      <c r="B19" s="1" t="n">
        <v>43635</v>
      </c>
      <c r="C19" s="1" t="n">
        <v>45352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45352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45352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45352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45352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45352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45352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45352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45352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45352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45352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45352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45352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45352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45352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45352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45352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45352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45352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45352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45352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45352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45352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45352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45352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45352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45352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45352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45352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45352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45352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45352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48839-2023</t>
        </is>
      </c>
      <c r="B51" s="1" t="n">
        <v>45209</v>
      </c>
      <c r="C51" s="1" t="n">
        <v>45352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2024-03-01T12:34:44Z</dcterms:created>
  <dcterms:modified xmlns:dcterms="http://purl.org/dc/terms/" xmlns:xsi="http://www.w3.org/2001/XMLSchema-instance" xsi:type="dcterms:W3CDTF">2024-03-01T12:34:44Z</dcterms:modified>
</cp:coreProperties>
</file>