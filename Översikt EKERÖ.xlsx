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46263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46263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46263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46263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46263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46263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46263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46263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46263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46263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46263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46263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46263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1793-2025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45671</v>
      </c>
      <c r="E15" s="1" t="n">
        <v>46263</v>
      </c>
      <c r="F15" t="inlineStr">
        <is>
          <t>STOCKHOLMS LÄN</t>
        </is>
      </c>
      <c r="G15" t="inlineStr">
        <is>
          <t>EKERÖ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17</v>
      </c>
      <c r="U15" t="n">
        <v>0</v>
      </c>
      <c r="V15" s="2" t="inlineStr">
        <is>
          <t>Mistel</t>
        </is>
      </c>
      <c r="W15">
        <f>HYPERLINK("https://klasma.github.io/Logging_0125/artfynd/A 1793-2025 artfynd.xlsx", "A 1793-2025")</f>
        <v/>
      </c>
      <c r="X15">
        <f>HYPERLINK("https://klasma.github.io/Logging_0125/kartor/A 1793-2025 karta.png", "A 1793-2025")</f>
        <v/>
      </c>
      <c r="Y15">
        <f>HYPERLINK("https://klasma.github.io/Logging_0125/kartor_geotiff/A 1793-2025 georefererad karta.tif", "A 1793-2025")</f>
        <v/>
      </c>
      <c r="AA15">
        <f>HYPERLINK("https://klasma.github.io/Logging_0125/klagomål/A 1793-2025 FSC-klagomål.docx", "A 1793-2025")</f>
        <v/>
      </c>
      <c r="AB15">
        <f>HYPERLINK("https://klasma.github.io/Logging_0125/klagomålsmail/A 1793-2025 FSC-klagomål mail.docx", "A 1793-2025")</f>
        <v/>
      </c>
      <c r="AC15">
        <f>HYPERLINK("https://klasma.github.io/Logging_0125/tillsyn/A 1793-2025 tillsynsbegäran.docx", "A 1793-2025")</f>
        <v/>
      </c>
      <c r="AD15">
        <f>HYPERLINK("https://klasma.github.io/Logging_0125/tillsynsmail/A 1793-2025 tillsynsbegäran mail.docx", "A 1793-2025")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46263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HYPERLINK("https://klasma.github.io/Logging_0125/artfynd/A 2533-2026 artfynd.xlsx", "A 2533-2026")</f>
        <v/>
      </c>
      <c r="X16">
        <f>HYPERLINK("https://klasma.github.io/Logging_0125/kartor/A 2533-2026 karta.png", "A 2533-2026")</f>
        <v/>
      </c>
      <c r="Y16">
        <f>HYPERLINK("https://klasma.github.io/Logging_0125/kartor_geotiff/A 2533-2026 georefererad karta.tif", "A 2533-2026")</f>
        <v/>
      </c>
      <c r="AA16">
        <f>HYPERLINK("https://klasma.github.io/Logging_0125/klagomål/A 2533-2026 FSC-klagomål.docx", "A 2533-2026")</f>
        <v/>
      </c>
      <c r="AB16">
        <f>HYPERLINK("https://klasma.github.io/Logging_0125/klagomålsmail/A 2533-2026 FSC-klagomål mail.docx", "A 2533-2026")</f>
        <v/>
      </c>
      <c r="AC16">
        <f>HYPERLINK("https://klasma.github.io/Logging_0125/tillsyn/A 2533-2026 tillsynsbegäran.docx", "A 2533-2026")</f>
        <v/>
      </c>
      <c r="AD16">
        <f>HYPERLINK("https://klasma.github.io/Logging_0125/tillsynsmail/A 2533-2026 tillsynsbegäran mail.docx", "A 2533-2026")</f>
        <v/>
      </c>
    </row>
    <row r="17" ht="15" customHeight="1">
      <c r="A17" t="inlineStr">
        <is>
          <t>A 3221-2022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44582</v>
      </c>
      <c r="E17" s="1" t="n">
        <v>46263</v>
      </c>
      <c r="F17" t="inlineStr">
        <is>
          <t>STOCKHOLMS LÄN</t>
        </is>
      </c>
      <c r="G17" t="inlineStr">
        <is>
          <t>EKERÖ</t>
        </is>
      </c>
      <c r="I17" t="n">
        <v>0.5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Blåmossa</t>
        </is>
      </c>
      <c r="W17">
        <f>HYPERLINK("https://klasma.github.io/Logging_0125/artfynd/A 3221-2022 artfynd.xlsx", "A 3221-2022")</f>
        <v/>
      </c>
      <c r="X17">
        <f>HYPERLINK("https://klasma.github.io/Logging_0125/kartor/A 3221-2022 karta.png", "A 3221-2022")</f>
        <v/>
      </c>
      <c r="Y17">
        <f>HYPERLINK("https://klasma.github.io/Logging_0125/kartor_geotiff/A 3221-2022 georefererad karta.tif", "A 3221-2022")</f>
        <v/>
      </c>
      <c r="AA17">
        <f>HYPERLINK("https://klasma.github.io/Logging_0125/klagomål/A 3221-2022 FSC-klagomål.docx", "A 3221-2022")</f>
        <v/>
      </c>
      <c r="AB17">
        <f>HYPERLINK("https://klasma.github.io/Logging_0125/klagomålsmail/A 3221-2022 FSC-klagomål mail.docx", "A 3221-2022")</f>
        <v/>
      </c>
      <c r="AC17">
        <f>HYPERLINK("https://klasma.github.io/Logging_0125/tillsyn/A 3221-2022 tillsynsbegäran.docx", "A 3221-2022")</f>
        <v/>
      </c>
      <c r="AD17">
        <f>HYPERLINK("https://klasma.github.io/Logging_0125/tillsynsmail/A 3221-2022 tillsynsbegäran mail.docx", "A 3221-2022")</f>
        <v/>
      </c>
    </row>
    <row r="18" ht="15" customHeight="1">
      <c r="A18" t="inlineStr">
        <is>
          <t>A 13794-2023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45007</v>
      </c>
      <c r="E18" s="1" t="n">
        <v>46263</v>
      </c>
      <c r="F18" t="inlineStr">
        <is>
          <t>STOCKHOLMS LÄN</t>
        </is>
      </c>
      <c r="G18" t="inlineStr">
        <is>
          <t>EKERÖ</t>
        </is>
      </c>
      <c r="I18" t="n">
        <v>4.8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HYPERLINK("https://klasma.github.io/Logging_0125/artfynd/A 13794-2023 artfynd.xlsx", "A 13794-2023")</f>
        <v/>
      </c>
      <c r="X18">
        <f>HYPERLINK("https://klasma.github.io/Logging_0125/kartor/A 13794-2023 karta.png", "A 13794-2023")</f>
        <v/>
      </c>
      <c r="Y18">
        <f>HYPERLINK("https://klasma.github.io/Logging_0125/kartor_geotiff/A 13794-2023 georefererad karta.tif", "A 13794-2023")</f>
        <v/>
      </c>
      <c r="AA18">
        <f>HYPERLINK("https://klasma.github.io/Logging_0125/klagomål/A 13794-2023 FSC-klagomål.docx", "A 13794-2023")</f>
        <v/>
      </c>
      <c r="AB18">
        <f>HYPERLINK("https://klasma.github.io/Logging_0125/klagomålsmail/A 13794-2023 FSC-klagomål mail.docx", "A 13794-2023")</f>
        <v/>
      </c>
      <c r="AC18">
        <f>HYPERLINK("https://klasma.github.io/Logging_0125/tillsyn/A 13794-2023 tillsynsbegäran.docx", "A 13794-2023")</f>
        <v/>
      </c>
      <c r="AD18">
        <f>HYPERLINK("https://klasma.github.io/Logging_0125/tillsynsmail/A 13794-2023 tillsynsbegäran mail.docx", "A 13794-2023")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46263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46263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46263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56002-2024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45623</v>
      </c>
      <c r="E22" s="1" t="n">
        <v>46263</v>
      </c>
      <c r="F22" t="inlineStr">
        <is>
          <t>STOCKHOLMS LÄN</t>
        </is>
      </c>
      <c r="G22" t="inlineStr">
        <is>
          <t>EKERÖ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46263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61217-2024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45645</v>
      </c>
      <c r="E24" s="1" t="n">
        <v>46263</v>
      </c>
      <c r="F24" t="inlineStr">
        <is>
          <t>STOCKHOLMS LÄN</t>
        </is>
      </c>
      <c r="G24" t="inlineStr">
        <is>
          <t>EKERÖ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63378-2025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46010</v>
      </c>
      <c r="E25" s="1" t="n">
        <v>46263</v>
      </c>
      <c r="F25" t="inlineStr">
        <is>
          <t>STOCKHOLMS LÄN</t>
        </is>
      </c>
      <c r="G25" t="inlineStr">
        <is>
          <t>EKERÖ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46263</v>
      </c>
      <c r="F26" t="inlineStr">
        <is>
          <t>STOCKHOLMS LÄN</t>
        </is>
      </c>
      <c r="G26" t="inlineStr">
        <is>
          <t>EKERÖ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46037</v>
      </c>
      <c r="E27" s="1" t="n">
        <v>46263</v>
      </c>
      <c r="F27" t="inlineStr">
        <is>
          <t>STOCKHOLMS LÄN</t>
        </is>
      </c>
      <c r="G27" t="inlineStr">
        <is>
          <t>EKERÖ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44582</v>
      </c>
      <c r="E28" s="1" t="n">
        <v>46263</v>
      </c>
      <c r="F28" t="inlineStr">
        <is>
          <t>STOCKHOLMS LÄN</t>
        </is>
      </c>
      <c r="G28" t="inlineStr">
        <is>
          <t>EKERÖ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60755-2024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45644</v>
      </c>
      <c r="E29" s="1" t="n">
        <v>46263</v>
      </c>
      <c r="F29" t="inlineStr">
        <is>
          <t>STOCKHOLMS LÄN</t>
        </is>
      </c>
      <c r="G29" t="inlineStr">
        <is>
          <t>EKERÖ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55724-2024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45622</v>
      </c>
      <c r="E30" s="1" t="n">
        <v>46263</v>
      </c>
      <c r="F30" t="inlineStr">
        <is>
          <t>STOCKHOLMS LÄN</t>
        </is>
      </c>
      <c r="G30" t="inlineStr">
        <is>
          <t>EKERÖ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45148</v>
      </c>
      <c r="E31" s="1" t="n">
        <v>46263</v>
      </c>
      <c r="F31" t="inlineStr">
        <is>
          <t>STOCKHOLMS LÄN</t>
        </is>
      </c>
      <c r="G31" t="inlineStr">
        <is>
          <t>EKERÖ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44913</v>
      </c>
      <c r="E32" s="1" t="n">
        <v>46263</v>
      </c>
      <c r="F32" t="inlineStr">
        <is>
          <t>STOCKHOLMS LÄN</t>
        </is>
      </c>
      <c r="G32" t="inlineStr">
        <is>
          <t>EKERÖ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20399-2026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46263</v>
      </c>
      <c r="F33" t="inlineStr">
        <is>
          <t>STOCKHOLMS LÄN</t>
        </is>
      </c>
      <c r="G33" t="inlineStr">
        <is>
          <t>EKERÖ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46263</v>
      </c>
      <c r="F34" t="inlineStr">
        <is>
          <t>STOCKHOLMS LÄN</t>
        </is>
      </c>
      <c r="G34" t="inlineStr">
        <is>
          <t>EKERÖ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20898-2026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46142</v>
      </c>
      <c r="E35" s="1" t="n">
        <v>46263</v>
      </c>
      <c r="F35" t="inlineStr">
        <is>
          <t>STOCKHOLMS LÄN</t>
        </is>
      </c>
      <c r="G35" t="inlineStr">
        <is>
          <t>EKERÖ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34073-2025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45845</v>
      </c>
      <c r="E36" s="1" t="n">
        <v>46263</v>
      </c>
      <c r="F36" t="inlineStr">
        <is>
          <t>STOCKHOLMS LÄN</t>
        </is>
      </c>
      <c r="G36" t="inlineStr">
        <is>
          <t>EKERÖ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46263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46263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2026-08-29T01:54:15Z</dcterms:created>
  <dcterms:modified xmlns:dcterms="http://purl.org/dc/terms/" xmlns:xsi="http://www.w3.org/2001/XMLSchema-instance" xsi:type="dcterms:W3CDTF">2026-08-29T01:54:15Z</dcterms:modified>
</cp:coreProperties>
</file>