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14020-2023</t>
        </is>
      </c>
      <c r="B2" s="1" t="n">
        <v>45008</v>
      </c>
      <c r="C2" s="1" t="n">
        <v>45750</v>
      </c>
      <c r="D2" t="inlineStr">
        <is>
          <t>STOCKHOLMS LÄN</t>
        </is>
      </c>
      <c r="E2" t="inlineStr">
        <is>
          <t>EKERÖ</t>
        </is>
      </c>
      <c r="G2" t="n">
        <v>9.300000000000001</v>
      </c>
      <c r="H2" t="n">
        <v>2</v>
      </c>
      <c r="I2" t="n">
        <v>2</v>
      </c>
      <c r="J2" t="n">
        <v>3</v>
      </c>
      <c r="K2" t="n">
        <v>1</v>
      </c>
      <c r="L2" t="n">
        <v>1</v>
      </c>
      <c r="M2" t="n">
        <v>0</v>
      </c>
      <c r="N2" t="n">
        <v>0</v>
      </c>
      <c r="O2" t="n">
        <v>5</v>
      </c>
      <c r="P2" t="n">
        <v>2</v>
      </c>
      <c r="Q2" t="n">
        <v>8</v>
      </c>
      <c r="R2" s="2" t="inlineStr">
        <is>
          <t>Ryl
Spricktaggsvamp
Backtimjan
Orange taggsvamp
Spillkråka
Dropptaggsvamp
Grönpyrola
Kopparödla</t>
        </is>
      </c>
      <c r="S2">
        <f>HYPERLINK("https://klasma.github.io/Logging_0125/artfynd/A 14020-2023 artfynd.xlsx", "A 14020-2023")</f>
        <v/>
      </c>
      <c r="T2">
        <f>HYPERLINK("https://klasma.github.io/Logging_0125/kartor/A 14020-2023 karta.png", "A 14020-2023")</f>
        <v/>
      </c>
      <c r="V2">
        <f>HYPERLINK("https://klasma.github.io/Logging_0125/klagomål/A 14020-2023 FSC-klagomål.docx", "A 14020-2023")</f>
        <v/>
      </c>
      <c r="W2">
        <f>HYPERLINK("https://klasma.github.io/Logging_0125/klagomålsmail/A 14020-2023 FSC-klagomål mail.docx", "A 14020-2023")</f>
        <v/>
      </c>
      <c r="X2">
        <f>HYPERLINK("https://klasma.github.io/Logging_0125/tillsyn/A 14020-2023 tillsynsbegäran.docx", "A 14020-2023")</f>
        <v/>
      </c>
      <c r="Y2">
        <f>HYPERLINK("https://klasma.github.io/Logging_0125/tillsynsmail/A 14020-2023 tillsynsbegäran mail.docx", "A 14020-2023")</f>
        <v/>
      </c>
      <c r="Z2">
        <f>HYPERLINK("https://klasma.github.io/Logging_0125/fåglar/A 14020-2023 prioriterade fågelarter.docx", "A 14020-2023")</f>
        <v/>
      </c>
    </row>
    <row r="3" ht="15" customHeight="1">
      <c r="A3" t="inlineStr">
        <is>
          <t>A 26334-2020</t>
        </is>
      </c>
      <c r="B3" s="1" t="n">
        <v>43986</v>
      </c>
      <c r="C3" s="1" t="n">
        <v>45750</v>
      </c>
      <c r="D3" t="inlineStr">
        <is>
          <t>STOCKHOLMS LÄN</t>
        </is>
      </c>
      <c r="E3" t="inlineStr">
        <is>
          <t>EKERÖ</t>
        </is>
      </c>
      <c r="G3" t="n">
        <v>1.1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Druvfingersvamp
Blåmossa
Bronshjon
Dropptaggsvamp
Blåsippa</t>
        </is>
      </c>
      <c r="S3">
        <f>HYPERLINK("https://klasma.github.io/Logging_0125/artfynd/A 26334-2020 artfynd.xlsx", "A 26334-2020")</f>
        <v/>
      </c>
      <c r="T3">
        <f>HYPERLINK("https://klasma.github.io/Logging_0125/kartor/A 26334-2020 karta.png", "A 26334-2020")</f>
        <v/>
      </c>
      <c r="V3">
        <f>HYPERLINK("https://klasma.github.io/Logging_0125/klagomål/A 26334-2020 FSC-klagomål.docx", "A 26334-2020")</f>
        <v/>
      </c>
      <c r="W3">
        <f>HYPERLINK("https://klasma.github.io/Logging_0125/klagomålsmail/A 26334-2020 FSC-klagomål mail.docx", "A 26334-2020")</f>
        <v/>
      </c>
      <c r="X3">
        <f>HYPERLINK("https://klasma.github.io/Logging_0125/tillsyn/A 26334-2020 tillsynsbegäran.docx", "A 26334-2020")</f>
        <v/>
      </c>
      <c r="Y3">
        <f>HYPERLINK("https://klasma.github.io/Logging_0125/tillsynsmail/A 26334-2020 tillsynsbegäran mail.docx", "A 26334-2020")</f>
        <v/>
      </c>
    </row>
    <row r="4" ht="15" customHeight="1">
      <c r="A4" t="inlineStr">
        <is>
          <t>A 8216-2023</t>
        </is>
      </c>
      <c r="B4" s="1" t="n">
        <v>44974</v>
      </c>
      <c r="C4" s="1" t="n">
        <v>45750</v>
      </c>
      <c r="D4" t="inlineStr">
        <is>
          <t>STOCKHOLMS LÄN</t>
        </is>
      </c>
      <c r="E4" t="inlineStr">
        <is>
          <t>EKERÖ</t>
        </is>
      </c>
      <c r="F4" t="inlineStr">
        <is>
          <t>Kommuner</t>
        </is>
      </c>
      <c r="G4" t="n">
        <v>5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Gul lammticka
Blomkålssvamp
Granbarkgnagare
Thomsons trägnagare
Blåsippa</t>
        </is>
      </c>
      <c r="S4">
        <f>HYPERLINK("https://klasma.github.io/Logging_0125/artfynd/A 8216-2023 artfynd.xlsx", "A 8216-2023")</f>
        <v/>
      </c>
      <c r="T4">
        <f>HYPERLINK("https://klasma.github.io/Logging_0125/kartor/A 8216-2023 karta.png", "A 8216-2023")</f>
        <v/>
      </c>
      <c r="V4">
        <f>HYPERLINK("https://klasma.github.io/Logging_0125/klagomål/A 8216-2023 FSC-klagomål.docx", "A 8216-2023")</f>
        <v/>
      </c>
      <c r="W4">
        <f>HYPERLINK("https://klasma.github.io/Logging_0125/klagomålsmail/A 8216-2023 FSC-klagomål mail.docx", "A 8216-2023")</f>
        <v/>
      </c>
      <c r="X4">
        <f>HYPERLINK("https://klasma.github.io/Logging_0125/tillsyn/A 8216-2023 tillsynsbegäran.docx", "A 8216-2023")</f>
        <v/>
      </c>
      <c r="Y4">
        <f>HYPERLINK("https://klasma.github.io/Logging_0125/tillsynsmail/A 8216-2023 tillsynsbegäran mail.docx", "A 8216-2023")</f>
        <v/>
      </c>
    </row>
    <row r="5" ht="15" customHeight="1">
      <c r="A5" t="inlineStr">
        <is>
          <t>A 4996-2024</t>
        </is>
      </c>
      <c r="B5" s="1" t="n">
        <v>45329</v>
      </c>
      <c r="C5" s="1" t="n">
        <v>45750</v>
      </c>
      <c r="D5" t="inlineStr">
        <is>
          <t>STOCKHOLMS LÄN</t>
        </is>
      </c>
      <c r="E5" t="inlineStr">
        <is>
          <t>EKERÖ</t>
        </is>
      </c>
      <c r="G5" t="n">
        <v>136.9</v>
      </c>
      <c r="H5" t="n">
        <v>3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Bombmurkla
Sårläka
Grönvit nattviol
Blåsippa</t>
        </is>
      </c>
      <c r="S5">
        <f>HYPERLINK("https://klasma.github.io/Logging_0125/artfynd/A 4996-2024 artfynd.xlsx", "A 4996-2024")</f>
        <v/>
      </c>
      <c r="T5">
        <f>HYPERLINK("https://klasma.github.io/Logging_0125/kartor/A 4996-2024 karta.png", "A 4996-2024")</f>
        <v/>
      </c>
      <c r="V5">
        <f>HYPERLINK("https://klasma.github.io/Logging_0125/klagomål/A 4996-2024 FSC-klagomål.docx", "A 4996-2024")</f>
        <v/>
      </c>
      <c r="W5">
        <f>HYPERLINK("https://klasma.github.io/Logging_0125/klagomålsmail/A 4996-2024 FSC-klagomål mail.docx", "A 4996-2024")</f>
        <v/>
      </c>
      <c r="X5">
        <f>HYPERLINK("https://klasma.github.io/Logging_0125/tillsyn/A 4996-2024 tillsynsbegäran.docx", "A 4996-2024")</f>
        <v/>
      </c>
      <c r="Y5">
        <f>HYPERLINK("https://klasma.github.io/Logging_0125/tillsynsmail/A 4996-2024 tillsynsbegäran mail.docx", "A 4996-2024")</f>
        <v/>
      </c>
    </row>
    <row r="6" ht="15" customHeight="1">
      <c r="A6" t="inlineStr">
        <is>
          <t>A 11803-2022</t>
        </is>
      </c>
      <c r="B6" s="1" t="n">
        <v>44634</v>
      </c>
      <c r="C6" s="1" t="n">
        <v>45750</v>
      </c>
      <c r="D6" t="inlineStr">
        <is>
          <t>STOCKHOLMS LÄN</t>
        </is>
      </c>
      <c r="E6" t="inlineStr">
        <is>
          <t>EKERÖ</t>
        </is>
      </c>
      <c r="G6" t="n">
        <v>2.7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Backklöver
Solvända
Gullviva</t>
        </is>
      </c>
      <c r="S6">
        <f>HYPERLINK("https://klasma.github.io/Logging_0125/artfynd/A 11803-2022 artfynd.xlsx", "A 11803-2022")</f>
        <v/>
      </c>
      <c r="T6">
        <f>HYPERLINK("https://klasma.github.io/Logging_0125/kartor/A 11803-2022 karta.png", "A 11803-2022")</f>
        <v/>
      </c>
      <c r="V6">
        <f>HYPERLINK("https://klasma.github.io/Logging_0125/klagomål/A 11803-2022 FSC-klagomål.docx", "A 11803-2022")</f>
        <v/>
      </c>
      <c r="W6">
        <f>HYPERLINK("https://klasma.github.io/Logging_0125/klagomålsmail/A 11803-2022 FSC-klagomål mail.docx", "A 11803-2022")</f>
        <v/>
      </c>
      <c r="X6">
        <f>HYPERLINK("https://klasma.github.io/Logging_0125/tillsyn/A 11803-2022 tillsynsbegäran.docx", "A 11803-2022")</f>
        <v/>
      </c>
      <c r="Y6">
        <f>HYPERLINK("https://klasma.github.io/Logging_0125/tillsynsmail/A 11803-2022 tillsynsbegäran mail.docx", "A 11803-2022")</f>
        <v/>
      </c>
    </row>
    <row r="7" ht="15" customHeight="1">
      <c r="A7" t="inlineStr">
        <is>
          <t>A 13237-2023</t>
        </is>
      </c>
      <c r="B7" s="1" t="n">
        <v>45002</v>
      </c>
      <c r="C7" s="1" t="n">
        <v>45750</v>
      </c>
      <c r="D7" t="inlineStr">
        <is>
          <t>STOCKHOLMS LÄN</t>
        </is>
      </c>
      <c r="E7" t="inlineStr">
        <is>
          <t>EKERÖ</t>
        </is>
      </c>
      <c r="F7" t="inlineStr">
        <is>
          <t>Kommuner</t>
        </is>
      </c>
      <c r="G7" t="n">
        <v>9.300000000000001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Granbarkgnagare
Blåsippa</t>
        </is>
      </c>
      <c r="S7">
        <f>HYPERLINK("https://klasma.github.io/Logging_0125/artfynd/A 13237-2023 artfynd.xlsx", "A 13237-2023")</f>
        <v/>
      </c>
      <c r="T7">
        <f>HYPERLINK("https://klasma.github.io/Logging_0125/kartor/A 13237-2023 karta.png", "A 13237-2023")</f>
        <v/>
      </c>
      <c r="V7">
        <f>HYPERLINK("https://klasma.github.io/Logging_0125/klagomål/A 13237-2023 FSC-klagomål.docx", "A 13237-2023")</f>
        <v/>
      </c>
      <c r="W7">
        <f>HYPERLINK("https://klasma.github.io/Logging_0125/klagomålsmail/A 13237-2023 FSC-klagomål mail.docx", "A 13237-2023")</f>
        <v/>
      </c>
      <c r="X7">
        <f>HYPERLINK("https://klasma.github.io/Logging_0125/tillsyn/A 13237-2023 tillsynsbegäran.docx", "A 13237-2023")</f>
        <v/>
      </c>
      <c r="Y7">
        <f>HYPERLINK("https://klasma.github.io/Logging_0125/tillsynsmail/A 13237-2023 tillsynsbegäran mail.docx", "A 13237-2023")</f>
        <v/>
      </c>
    </row>
    <row r="8" ht="15" customHeight="1">
      <c r="A8" t="inlineStr">
        <is>
          <t>A 3218-2022</t>
        </is>
      </c>
      <c r="B8" s="1" t="n">
        <v>44582</v>
      </c>
      <c r="C8" s="1" t="n">
        <v>45750</v>
      </c>
      <c r="D8" t="inlineStr">
        <is>
          <t>STOCKHOLMS LÄN</t>
        </is>
      </c>
      <c r="E8" t="inlineStr">
        <is>
          <t>EKERÖ</t>
        </is>
      </c>
      <c r="G8" t="n">
        <v>1.2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Gul lammticka
Kamjordstjärna</t>
        </is>
      </c>
      <c r="S8">
        <f>HYPERLINK("https://klasma.github.io/Logging_0125/artfynd/A 3218-2022 artfynd.xlsx", "A 3218-2022")</f>
        <v/>
      </c>
      <c r="T8">
        <f>HYPERLINK("https://klasma.github.io/Logging_0125/kartor/A 3218-2022 karta.png", "A 3218-2022")</f>
        <v/>
      </c>
      <c r="V8">
        <f>HYPERLINK("https://klasma.github.io/Logging_0125/klagomål/A 3218-2022 FSC-klagomål.docx", "A 3218-2022")</f>
        <v/>
      </c>
      <c r="W8">
        <f>HYPERLINK("https://klasma.github.io/Logging_0125/klagomålsmail/A 3218-2022 FSC-klagomål mail.docx", "A 3218-2022")</f>
        <v/>
      </c>
      <c r="X8">
        <f>HYPERLINK("https://klasma.github.io/Logging_0125/tillsyn/A 3218-2022 tillsynsbegäran.docx", "A 3218-2022")</f>
        <v/>
      </c>
      <c r="Y8">
        <f>HYPERLINK("https://klasma.github.io/Logging_0125/tillsynsmail/A 3218-2022 tillsynsbegäran mail.docx", "A 3218-2022")</f>
        <v/>
      </c>
    </row>
    <row r="9" ht="15" customHeight="1">
      <c r="A9" t="inlineStr">
        <is>
          <t>A 31167-2019</t>
        </is>
      </c>
      <c r="B9" s="1" t="n">
        <v>43635</v>
      </c>
      <c r="C9" s="1" t="n">
        <v>45750</v>
      </c>
      <c r="D9" t="inlineStr">
        <is>
          <t>STOCKHOLMS LÄN</t>
        </is>
      </c>
      <c r="E9" t="inlineStr">
        <is>
          <t>EKERÖ</t>
        </is>
      </c>
      <c r="F9" t="inlineStr">
        <is>
          <t>Övriga statliga verk och myndigheter</t>
        </is>
      </c>
      <c r="G9" t="n">
        <v>3.7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Läderbagge</t>
        </is>
      </c>
      <c r="S9">
        <f>HYPERLINK("https://klasma.github.io/Logging_0125/artfynd/A 31167-2019 artfynd.xlsx", "A 31167-2019")</f>
        <v/>
      </c>
      <c r="T9">
        <f>HYPERLINK("https://klasma.github.io/Logging_0125/kartor/A 31167-2019 karta.png", "A 31167-2019")</f>
        <v/>
      </c>
      <c r="V9">
        <f>HYPERLINK("https://klasma.github.io/Logging_0125/klagomål/A 31167-2019 FSC-klagomål.docx", "A 31167-2019")</f>
        <v/>
      </c>
      <c r="W9">
        <f>HYPERLINK("https://klasma.github.io/Logging_0125/klagomålsmail/A 31167-2019 FSC-klagomål mail.docx", "A 31167-2019")</f>
        <v/>
      </c>
      <c r="X9">
        <f>HYPERLINK("https://klasma.github.io/Logging_0125/tillsyn/A 31167-2019 tillsynsbegäran.docx", "A 31167-2019")</f>
        <v/>
      </c>
      <c r="Y9">
        <f>HYPERLINK("https://klasma.github.io/Logging_0125/tillsynsmail/A 31167-2019 tillsynsbegäran mail.docx", "A 31167-2019")</f>
        <v/>
      </c>
    </row>
    <row r="10" ht="15" customHeight="1">
      <c r="A10" t="inlineStr">
        <is>
          <t>A 54231-2019</t>
        </is>
      </c>
      <c r="B10" s="1" t="n">
        <v>43753</v>
      </c>
      <c r="C10" s="1" t="n">
        <v>45750</v>
      </c>
      <c r="D10" t="inlineStr">
        <is>
          <t>STOCKHOLMS LÄN</t>
        </is>
      </c>
      <c r="E10" t="inlineStr">
        <is>
          <t>EKERÖ</t>
        </is>
      </c>
      <c r="G10" t="n">
        <v>6.2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Bombmurkla</t>
        </is>
      </c>
      <c r="S10">
        <f>HYPERLINK("https://klasma.github.io/Logging_0125/artfynd/A 54231-2019 artfynd.xlsx", "A 54231-2019")</f>
        <v/>
      </c>
      <c r="T10">
        <f>HYPERLINK("https://klasma.github.io/Logging_0125/kartor/A 54231-2019 karta.png", "A 54231-2019")</f>
        <v/>
      </c>
      <c r="V10">
        <f>HYPERLINK("https://klasma.github.io/Logging_0125/klagomål/A 54231-2019 FSC-klagomål.docx", "A 54231-2019")</f>
        <v/>
      </c>
      <c r="W10">
        <f>HYPERLINK("https://klasma.github.io/Logging_0125/klagomålsmail/A 54231-2019 FSC-klagomål mail.docx", "A 54231-2019")</f>
        <v/>
      </c>
      <c r="X10">
        <f>HYPERLINK("https://klasma.github.io/Logging_0125/tillsyn/A 54231-2019 tillsynsbegäran.docx", "A 54231-2019")</f>
        <v/>
      </c>
      <c r="Y10">
        <f>HYPERLINK("https://klasma.github.io/Logging_0125/tillsynsmail/A 54231-2019 tillsynsbegäran mail.docx", "A 54231-2019")</f>
        <v/>
      </c>
    </row>
    <row r="11" ht="15" customHeight="1">
      <c r="A11" t="inlineStr">
        <is>
          <t>A 7032-2020</t>
        </is>
      </c>
      <c r="B11" s="1" t="n">
        <v>43868</v>
      </c>
      <c r="C11" s="1" t="n">
        <v>45750</v>
      </c>
      <c r="D11" t="inlineStr">
        <is>
          <t>STOCKHOLMS LÄN</t>
        </is>
      </c>
      <c r="E11" t="inlineStr">
        <is>
          <t>EKERÖ</t>
        </is>
      </c>
      <c r="G11" t="n">
        <v>3.1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timmerman</t>
        </is>
      </c>
      <c r="S11">
        <f>HYPERLINK("https://klasma.github.io/Logging_0125/artfynd/A 7032-2020 artfynd.xlsx", "A 7032-2020")</f>
        <v/>
      </c>
      <c r="T11">
        <f>HYPERLINK("https://klasma.github.io/Logging_0125/kartor/A 7032-2020 karta.png", "A 7032-2020")</f>
        <v/>
      </c>
      <c r="V11">
        <f>HYPERLINK("https://klasma.github.io/Logging_0125/klagomål/A 7032-2020 FSC-klagomål.docx", "A 7032-2020")</f>
        <v/>
      </c>
      <c r="W11">
        <f>HYPERLINK("https://klasma.github.io/Logging_0125/klagomålsmail/A 7032-2020 FSC-klagomål mail.docx", "A 7032-2020")</f>
        <v/>
      </c>
      <c r="X11">
        <f>HYPERLINK("https://klasma.github.io/Logging_0125/tillsyn/A 7032-2020 tillsynsbegäran.docx", "A 7032-2020")</f>
        <v/>
      </c>
      <c r="Y11">
        <f>HYPERLINK("https://klasma.github.io/Logging_0125/tillsynsmail/A 7032-2020 tillsynsbegäran mail.docx", "A 7032-2020")</f>
        <v/>
      </c>
    </row>
    <row r="12" ht="15" customHeight="1">
      <c r="A12" t="inlineStr">
        <is>
          <t>A 13891-2022</t>
        </is>
      </c>
      <c r="B12" s="1" t="n">
        <v>44646</v>
      </c>
      <c r="C12" s="1" t="n">
        <v>45750</v>
      </c>
      <c r="D12" t="inlineStr">
        <is>
          <t>STOCKHOLMS LÄN</t>
        </is>
      </c>
      <c r="E12" t="inlineStr">
        <is>
          <t>EKERÖ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Granbarkgnagare</t>
        </is>
      </c>
      <c r="S12">
        <f>HYPERLINK("https://klasma.github.io/Logging_0125/artfynd/A 13891-2022 artfynd.xlsx", "A 13891-2022")</f>
        <v/>
      </c>
      <c r="T12">
        <f>HYPERLINK("https://klasma.github.io/Logging_0125/kartor/A 13891-2022 karta.png", "A 13891-2022")</f>
        <v/>
      </c>
      <c r="V12">
        <f>HYPERLINK("https://klasma.github.io/Logging_0125/klagomål/A 13891-2022 FSC-klagomål.docx", "A 13891-2022")</f>
        <v/>
      </c>
      <c r="W12">
        <f>HYPERLINK("https://klasma.github.io/Logging_0125/klagomålsmail/A 13891-2022 FSC-klagomål mail.docx", "A 13891-2022")</f>
        <v/>
      </c>
      <c r="X12">
        <f>HYPERLINK("https://klasma.github.io/Logging_0125/tillsyn/A 13891-2022 tillsynsbegäran.docx", "A 13891-2022")</f>
        <v/>
      </c>
      <c r="Y12">
        <f>HYPERLINK("https://klasma.github.io/Logging_0125/tillsynsmail/A 13891-2022 tillsynsbegäran mail.docx", "A 13891-2022")</f>
        <v/>
      </c>
    </row>
    <row r="13" ht="15" customHeight="1">
      <c r="A13" t="inlineStr">
        <is>
          <t>A 13794-2023</t>
        </is>
      </c>
      <c r="B13" s="1" t="n">
        <v>45007</v>
      </c>
      <c r="C13" s="1" t="n">
        <v>45750</v>
      </c>
      <c r="D13" t="inlineStr">
        <is>
          <t>STOCKHOLMS LÄN</t>
        </is>
      </c>
      <c r="E13" t="inlineStr">
        <is>
          <t>EKERÖ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HYPERLINK("https://klasma.github.io/Logging_0125/artfynd/A 13794-2023 artfynd.xlsx", "A 13794-2023")</f>
        <v/>
      </c>
      <c r="T13">
        <f>HYPERLINK("https://klasma.github.io/Logging_0125/kartor/A 13794-2023 karta.png", "A 13794-2023")</f>
        <v/>
      </c>
      <c r="V13">
        <f>HYPERLINK("https://klasma.github.io/Logging_0125/klagomål/A 13794-2023 FSC-klagomål.docx", "A 13794-2023")</f>
        <v/>
      </c>
      <c r="W13">
        <f>HYPERLINK("https://klasma.github.io/Logging_0125/klagomålsmail/A 13794-2023 FSC-klagomål mail.docx", "A 13794-2023")</f>
        <v/>
      </c>
      <c r="X13">
        <f>HYPERLINK("https://klasma.github.io/Logging_0125/tillsyn/A 13794-2023 tillsynsbegäran.docx", "A 13794-2023")</f>
        <v/>
      </c>
      <c r="Y13">
        <f>HYPERLINK("https://klasma.github.io/Logging_0125/tillsynsmail/A 13794-2023 tillsynsbegäran mail.docx", "A 13794-2023")</f>
        <v/>
      </c>
    </row>
    <row r="14" ht="15" customHeight="1">
      <c r="A14" t="inlineStr">
        <is>
          <t>A 14014-2023</t>
        </is>
      </c>
      <c r="B14" s="1" t="n">
        <v>45008</v>
      </c>
      <c r="C14" s="1" t="n">
        <v>45750</v>
      </c>
      <c r="D14" t="inlineStr">
        <is>
          <t>STOCKHOLMS LÄN</t>
        </is>
      </c>
      <c r="E14" t="inlineStr">
        <is>
          <t>EKERÖ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Gröngöling</t>
        </is>
      </c>
      <c r="S14">
        <f>HYPERLINK("https://klasma.github.io/Logging_0125/artfynd/A 14014-2023 artfynd.xlsx", "A 14014-2023")</f>
        <v/>
      </c>
      <c r="T14">
        <f>HYPERLINK("https://klasma.github.io/Logging_0125/kartor/A 14014-2023 karta.png", "A 14014-2023")</f>
        <v/>
      </c>
      <c r="V14">
        <f>HYPERLINK("https://klasma.github.io/Logging_0125/klagomål/A 14014-2023 FSC-klagomål.docx", "A 14014-2023")</f>
        <v/>
      </c>
      <c r="W14">
        <f>HYPERLINK("https://klasma.github.io/Logging_0125/klagomålsmail/A 14014-2023 FSC-klagomål mail.docx", "A 14014-2023")</f>
        <v/>
      </c>
      <c r="X14">
        <f>HYPERLINK("https://klasma.github.io/Logging_0125/tillsyn/A 14014-2023 tillsynsbegäran.docx", "A 14014-2023")</f>
        <v/>
      </c>
      <c r="Y14">
        <f>HYPERLINK("https://klasma.github.io/Logging_0125/tillsynsmail/A 14014-2023 tillsynsbegäran mail.docx", "A 14014-2023")</f>
        <v/>
      </c>
      <c r="Z14">
        <f>HYPERLINK("https://klasma.github.io/Logging_0125/fåglar/A 14014-2023 prioriterade fågelarter.docx", "A 14014-2023")</f>
        <v/>
      </c>
    </row>
    <row r="15" ht="15" customHeight="1">
      <c r="A15" t="inlineStr">
        <is>
          <t>A 35953-2023</t>
        </is>
      </c>
      <c r="B15" s="1" t="n">
        <v>45148</v>
      </c>
      <c r="C15" s="1" t="n">
        <v>45750</v>
      </c>
      <c r="D15" t="inlineStr">
        <is>
          <t>STOCKHOLMS LÄN</t>
        </is>
      </c>
      <c r="E15" t="inlineStr">
        <is>
          <t>EKERÖ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HYPERLINK("https://klasma.github.io/Logging_0125/artfynd/A 35953-2023 artfynd.xlsx", "A 35953-2023")</f>
        <v/>
      </c>
      <c r="T15">
        <f>HYPERLINK("https://klasma.github.io/Logging_0125/kartor/A 35953-2023 karta.png", "A 35953-2023")</f>
        <v/>
      </c>
      <c r="V15">
        <f>HYPERLINK("https://klasma.github.io/Logging_0125/klagomål/A 35953-2023 FSC-klagomål.docx", "A 35953-2023")</f>
        <v/>
      </c>
      <c r="W15">
        <f>HYPERLINK("https://klasma.github.io/Logging_0125/klagomålsmail/A 35953-2023 FSC-klagomål mail.docx", "A 35953-2023")</f>
        <v/>
      </c>
      <c r="X15">
        <f>HYPERLINK("https://klasma.github.io/Logging_0125/tillsyn/A 35953-2023 tillsynsbegäran.docx", "A 35953-2023")</f>
        <v/>
      </c>
      <c r="Y15">
        <f>HYPERLINK("https://klasma.github.io/Logging_0125/tillsynsmail/A 35953-2023 tillsynsbegäran mail.docx", "A 35953-2023")</f>
        <v/>
      </c>
    </row>
    <row r="16" ht="15" customHeight="1">
      <c r="A16" t="inlineStr">
        <is>
          <t>A 52545-2024</t>
        </is>
      </c>
      <c r="B16" s="1" t="n">
        <v>45609</v>
      </c>
      <c r="C16" s="1" t="n">
        <v>45750</v>
      </c>
      <c r="D16" t="inlineStr">
        <is>
          <t>STOCKHOLMS LÄN</t>
        </is>
      </c>
      <c r="E16" t="inlineStr">
        <is>
          <t>EKERÖ</t>
        </is>
      </c>
      <c r="G16" t="n">
        <v>2.8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 sköldmossa</t>
        </is>
      </c>
      <c r="S16">
        <f>HYPERLINK("https://klasma.github.io/Logging_0125/artfynd/A 52545-2024 artfynd.xlsx", "A 52545-2024")</f>
        <v/>
      </c>
      <c r="T16">
        <f>HYPERLINK("https://klasma.github.io/Logging_0125/kartor/A 52545-2024 karta.png", "A 52545-2024")</f>
        <v/>
      </c>
      <c r="V16">
        <f>HYPERLINK("https://klasma.github.io/Logging_0125/klagomål/A 52545-2024 FSC-klagomål.docx", "A 52545-2024")</f>
        <v/>
      </c>
      <c r="W16">
        <f>HYPERLINK("https://klasma.github.io/Logging_0125/klagomålsmail/A 52545-2024 FSC-klagomål mail.docx", "A 52545-2024")</f>
        <v/>
      </c>
      <c r="X16">
        <f>HYPERLINK("https://klasma.github.io/Logging_0125/tillsyn/A 52545-2024 tillsynsbegäran.docx", "A 52545-2024")</f>
        <v/>
      </c>
      <c r="Y16">
        <f>HYPERLINK("https://klasma.github.io/Logging_0125/tillsynsmail/A 52545-2024 tillsynsbegäran mail.docx", "A 52545-2024")</f>
        <v/>
      </c>
    </row>
    <row r="17" ht="15" customHeight="1">
      <c r="A17" t="inlineStr">
        <is>
          <t>A 1793-2025</t>
        </is>
      </c>
      <c r="B17" s="1" t="n">
        <v>45671</v>
      </c>
      <c r="C17" s="1" t="n">
        <v>45750</v>
      </c>
      <c r="D17" t="inlineStr">
        <is>
          <t>STOCKHOLMS LÄN</t>
        </is>
      </c>
      <c r="E17" t="inlineStr">
        <is>
          <t>EKERÖ</t>
        </is>
      </c>
      <c r="G17" t="n">
        <v>1.7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Mistel</t>
        </is>
      </c>
      <c r="S17">
        <f>HYPERLINK("https://klasma.github.io/Logging_0125/artfynd/A 1793-2025 artfynd.xlsx", "A 1793-2025")</f>
        <v/>
      </c>
      <c r="T17">
        <f>HYPERLINK("https://klasma.github.io/Logging_0125/kartor/A 1793-2025 karta.png", "A 1793-2025")</f>
        <v/>
      </c>
      <c r="V17">
        <f>HYPERLINK("https://klasma.github.io/Logging_0125/klagomål/A 1793-2025 FSC-klagomål.docx", "A 1793-2025")</f>
        <v/>
      </c>
      <c r="W17">
        <f>HYPERLINK("https://klasma.github.io/Logging_0125/klagomålsmail/A 1793-2025 FSC-klagomål mail.docx", "A 1793-2025")</f>
        <v/>
      </c>
      <c r="X17">
        <f>HYPERLINK("https://klasma.github.io/Logging_0125/tillsyn/A 1793-2025 tillsynsbegäran.docx", "A 1793-2025")</f>
        <v/>
      </c>
      <c r="Y17">
        <f>HYPERLINK("https://klasma.github.io/Logging_0125/tillsynsmail/A 1793-2025 tillsynsbegäran mail.docx", "A 1793-2025")</f>
        <v/>
      </c>
    </row>
    <row r="18" ht="15" customHeight="1">
      <c r="A18" t="inlineStr">
        <is>
          <t>A 31171-2019</t>
        </is>
      </c>
      <c r="B18" s="1" t="n">
        <v>43635</v>
      </c>
      <c r="C18" s="1" t="n">
        <v>45750</v>
      </c>
      <c r="D18" t="inlineStr">
        <is>
          <t>STOCKHOLMS LÄN</t>
        </is>
      </c>
      <c r="E18" t="inlineStr">
        <is>
          <t>EKERÖ</t>
        </is>
      </c>
      <c r="F18" t="inlineStr">
        <is>
          <t>Övriga statliga verk och myndigheter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54187-2019</t>
        </is>
      </c>
      <c r="B19" s="1" t="n">
        <v>43753</v>
      </c>
      <c r="C19" s="1" t="n">
        <v>45750</v>
      </c>
      <c r="D19" t="inlineStr">
        <is>
          <t>STOCKHOLMS LÄN</t>
        </is>
      </c>
      <c r="E19" t="inlineStr">
        <is>
          <t>EKERÖ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64656-2019</t>
        </is>
      </c>
      <c r="B20" s="1" t="n">
        <v>43798</v>
      </c>
      <c r="C20" s="1" t="n">
        <v>45750</v>
      </c>
      <c r="D20" t="inlineStr">
        <is>
          <t>STOCKHOLMS LÄN</t>
        </is>
      </c>
      <c r="E20" t="inlineStr">
        <is>
          <t>EKERÖ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66603-2019</t>
        </is>
      </c>
      <c r="B21" s="1" t="n">
        <v>43809</v>
      </c>
      <c r="C21" s="1" t="n">
        <v>45750</v>
      </c>
      <c r="D21" t="inlineStr">
        <is>
          <t>STOCKHOLMS LÄN</t>
        </is>
      </c>
      <c r="E21" t="inlineStr">
        <is>
          <t>EKERÖ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66599-2019</t>
        </is>
      </c>
      <c r="B22" s="1" t="n">
        <v>43809</v>
      </c>
      <c r="C22" s="1" t="n">
        <v>45750</v>
      </c>
      <c r="D22" t="inlineStr">
        <is>
          <t>STOCKHOLMS LÄN</t>
        </is>
      </c>
      <c r="E22" t="inlineStr">
        <is>
          <t>EKERÖ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292-2020</t>
        </is>
      </c>
      <c r="B23" s="1" t="n">
        <v>43837</v>
      </c>
      <c r="C23" s="1" t="n">
        <v>45750</v>
      </c>
      <c r="D23" t="inlineStr">
        <is>
          <t>STOCKHOLMS LÄN</t>
        </is>
      </c>
      <c r="E23" t="inlineStr">
        <is>
          <t>EKERÖ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4353-2020</t>
        </is>
      </c>
      <c r="B24" s="1" t="n">
        <v>43857</v>
      </c>
      <c r="C24" s="1" t="n">
        <v>45750</v>
      </c>
      <c r="D24" t="inlineStr">
        <is>
          <t>STOCKHOLMS LÄN</t>
        </is>
      </c>
      <c r="E24" t="inlineStr">
        <is>
          <t>EKERÖ</t>
        </is>
      </c>
      <c r="G24" t="n">
        <v>6.3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10395-2020</t>
        </is>
      </c>
      <c r="B25" s="1" t="n">
        <v>43885</v>
      </c>
      <c r="C25" s="1" t="n">
        <v>45750</v>
      </c>
      <c r="D25" t="inlineStr">
        <is>
          <t>STOCKHOLMS LÄN</t>
        </is>
      </c>
      <c r="E25" t="inlineStr">
        <is>
          <t>EKERÖ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17552-2020</t>
        </is>
      </c>
      <c r="B26" s="1" t="n">
        <v>43892</v>
      </c>
      <c r="C26" s="1" t="n">
        <v>45750</v>
      </c>
      <c r="D26" t="inlineStr">
        <is>
          <t>STOCKHOLMS LÄN</t>
        </is>
      </c>
      <c r="E26" t="inlineStr">
        <is>
          <t>EKERÖ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17546-2020</t>
        </is>
      </c>
      <c r="B27" s="1" t="n">
        <v>43892</v>
      </c>
      <c r="C27" s="1" t="n">
        <v>45750</v>
      </c>
      <c r="D27" t="inlineStr">
        <is>
          <t>STOCKHOLMS LÄN</t>
        </is>
      </c>
      <c r="E27" t="inlineStr">
        <is>
          <t>EKERÖ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15756-2020</t>
        </is>
      </c>
      <c r="B28" s="1" t="n">
        <v>43915</v>
      </c>
      <c r="C28" s="1" t="n">
        <v>45750</v>
      </c>
      <c r="D28" t="inlineStr">
        <is>
          <t>STOCKHOLMS LÄN</t>
        </is>
      </c>
      <c r="E28" t="inlineStr">
        <is>
          <t>EKERÖ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34185-2020</t>
        </is>
      </c>
      <c r="B29" s="1" t="n">
        <v>44029</v>
      </c>
      <c r="C29" s="1" t="n">
        <v>45750</v>
      </c>
      <c r="D29" t="inlineStr">
        <is>
          <t>STOCKHOLMS LÄN</t>
        </is>
      </c>
      <c r="E29" t="inlineStr">
        <is>
          <t>EKERÖ</t>
        </is>
      </c>
      <c r="G29" t="n">
        <v>7.3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35012-2020</t>
        </is>
      </c>
      <c r="B30" s="1" t="n">
        <v>44039</v>
      </c>
      <c r="C30" s="1" t="n">
        <v>45750</v>
      </c>
      <c r="D30" t="inlineStr">
        <is>
          <t>STOCKHOLMS LÄN</t>
        </is>
      </c>
      <c r="E30" t="inlineStr">
        <is>
          <t>EKERÖ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1553-2021</t>
        </is>
      </c>
      <c r="B31" s="1" t="n">
        <v>44209</v>
      </c>
      <c r="C31" s="1" t="n">
        <v>45750</v>
      </c>
      <c r="D31" t="inlineStr">
        <is>
          <t>STOCKHOLMS LÄN</t>
        </is>
      </c>
      <c r="E31" t="inlineStr">
        <is>
          <t>EKERÖ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3702-2021</t>
        </is>
      </c>
      <c r="B32" s="1" t="n">
        <v>44221</v>
      </c>
      <c r="C32" s="1" t="n">
        <v>45750</v>
      </c>
      <c r="D32" t="inlineStr">
        <is>
          <t>STOCKHOLMS LÄN</t>
        </is>
      </c>
      <c r="E32" t="inlineStr">
        <is>
          <t>EKERÖ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29533-2021</t>
        </is>
      </c>
      <c r="B33" s="1" t="n">
        <v>44361</v>
      </c>
      <c r="C33" s="1" t="n">
        <v>45750</v>
      </c>
      <c r="D33" t="inlineStr">
        <is>
          <t>STOCKHOLMS LÄN</t>
        </is>
      </c>
      <c r="E33" t="inlineStr">
        <is>
          <t>EKERÖ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61196-2021</t>
        </is>
      </c>
      <c r="B34" s="1" t="n">
        <v>44498</v>
      </c>
      <c r="C34" s="1" t="n">
        <v>45750</v>
      </c>
      <c r="D34" t="inlineStr">
        <is>
          <t>STOCKHOLMS LÄN</t>
        </is>
      </c>
      <c r="E34" t="inlineStr">
        <is>
          <t>EKERÖ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65129-2021</t>
        </is>
      </c>
      <c r="B35" s="1" t="n">
        <v>44515</v>
      </c>
      <c r="C35" s="1" t="n">
        <v>45750</v>
      </c>
      <c r="D35" t="inlineStr">
        <is>
          <t>STOCKHOLMS LÄN</t>
        </is>
      </c>
      <c r="E35" t="inlineStr">
        <is>
          <t>EKERÖ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3222-2022</t>
        </is>
      </c>
      <c r="B36" s="1" t="n">
        <v>44582</v>
      </c>
      <c r="C36" s="1" t="n">
        <v>45750</v>
      </c>
      <c r="D36" t="inlineStr">
        <is>
          <t>STOCKHOLMS LÄN</t>
        </is>
      </c>
      <c r="E36" t="inlineStr">
        <is>
          <t>EKERÖ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3221-2022</t>
        </is>
      </c>
      <c r="B37" s="1" t="n">
        <v>44582</v>
      </c>
      <c r="C37" s="1" t="n">
        <v>45750</v>
      </c>
      <c r="D37" t="inlineStr">
        <is>
          <t>STOCKHOLMS LÄN</t>
        </is>
      </c>
      <c r="E37" t="inlineStr">
        <is>
          <t>EKERÖ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3219-2022</t>
        </is>
      </c>
      <c r="B38" s="1" t="n">
        <v>44582</v>
      </c>
      <c r="C38" s="1" t="n">
        <v>45750</v>
      </c>
      <c r="D38" t="inlineStr">
        <is>
          <t>STOCKHOLMS LÄN</t>
        </is>
      </c>
      <c r="E38" t="inlineStr">
        <is>
          <t>EKERÖ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15630-2022</t>
        </is>
      </c>
      <c r="B39" s="1" t="n">
        <v>44662</v>
      </c>
      <c r="C39" s="1" t="n">
        <v>45750</v>
      </c>
      <c r="D39" t="inlineStr">
        <is>
          <t>STOCKHOLMS LÄN</t>
        </is>
      </c>
      <c r="E39" t="inlineStr">
        <is>
          <t>EKERÖ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16242-2022</t>
        </is>
      </c>
      <c r="B40" s="1" t="n">
        <v>44670</v>
      </c>
      <c r="C40" s="1" t="n">
        <v>45750</v>
      </c>
      <c r="D40" t="inlineStr">
        <is>
          <t>STOCKHOLMS LÄN</t>
        </is>
      </c>
      <c r="E40" t="inlineStr">
        <is>
          <t>EKERÖ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36063-2022</t>
        </is>
      </c>
      <c r="B41" s="1" t="n">
        <v>44802</v>
      </c>
      <c r="C41" s="1" t="n">
        <v>45750</v>
      </c>
      <c r="D41" t="inlineStr">
        <is>
          <t>STOCKHOLMS LÄN</t>
        </is>
      </c>
      <c r="E41" t="inlineStr">
        <is>
          <t>EKERÖ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52884-2022</t>
        </is>
      </c>
      <c r="B42" s="1" t="n">
        <v>44872</v>
      </c>
      <c r="C42" s="1" t="n">
        <v>45750</v>
      </c>
      <c r="D42" t="inlineStr">
        <is>
          <t>STOCKHOLMS LÄN</t>
        </is>
      </c>
      <c r="E42" t="inlineStr">
        <is>
          <t>EKERÖ</t>
        </is>
      </c>
      <c r="F42" t="inlineStr">
        <is>
          <t>Övriga statliga verk och myndigheter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60729-2022</t>
        </is>
      </c>
      <c r="B43" s="1" t="n">
        <v>44913</v>
      </c>
      <c r="C43" s="1" t="n">
        <v>45750</v>
      </c>
      <c r="D43" t="inlineStr">
        <is>
          <t>STOCKHOLMS LÄN</t>
        </is>
      </c>
      <c r="E43" t="inlineStr">
        <is>
          <t>EKERÖ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60728-2022</t>
        </is>
      </c>
      <c r="B44" s="1" t="n">
        <v>44913</v>
      </c>
      <c r="C44" s="1" t="n">
        <v>45750</v>
      </c>
      <c r="D44" t="inlineStr">
        <is>
          <t>STOCKHOLMS LÄN</t>
        </is>
      </c>
      <c r="E44" t="inlineStr">
        <is>
          <t>EKERÖ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4904-2023</t>
        </is>
      </c>
      <c r="B45" s="1" t="n">
        <v>44956</v>
      </c>
      <c r="C45" s="1" t="n">
        <v>45750</v>
      </c>
      <c r="D45" t="inlineStr">
        <is>
          <t>STOCKHOLMS LÄN</t>
        </is>
      </c>
      <c r="E45" t="inlineStr">
        <is>
          <t>EKERÖ</t>
        </is>
      </c>
      <c r="F45" t="inlineStr">
        <is>
          <t>Övriga statliga verk och myndigheter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14015-2023</t>
        </is>
      </c>
      <c r="B46" s="1" t="n">
        <v>45008</v>
      </c>
      <c r="C46" s="1" t="n">
        <v>45750</v>
      </c>
      <c r="D46" t="inlineStr">
        <is>
          <t>STOCKHOLMS LÄN</t>
        </is>
      </c>
      <c r="E46" t="inlineStr">
        <is>
          <t>EKERÖ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18723-2023</t>
        </is>
      </c>
      <c r="B47" s="1" t="n">
        <v>45043</v>
      </c>
      <c r="C47" s="1" t="n">
        <v>45750</v>
      </c>
      <c r="D47" t="inlineStr">
        <is>
          <t>STOCKHOLMS LÄN</t>
        </is>
      </c>
      <c r="E47" t="inlineStr">
        <is>
          <t>EKERÖ</t>
        </is>
      </c>
      <c r="G47" t="n">
        <v>8.1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35955-2023</t>
        </is>
      </c>
      <c r="B48" s="1" t="n">
        <v>45148</v>
      </c>
      <c r="C48" s="1" t="n">
        <v>45750</v>
      </c>
      <c r="D48" t="inlineStr">
        <is>
          <t>STOCKHOLMS LÄN</t>
        </is>
      </c>
      <c r="E48" t="inlineStr">
        <is>
          <t>EKERÖ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50184-2023</t>
        </is>
      </c>
      <c r="B49" s="1" t="n">
        <v>45208</v>
      </c>
      <c r="C49" s="1" t="n">
        <v>45750</v>
      </c>
      <c r="D49" t="inlineStr">
        <is>
          <t>STOCKHOLMS LÄN</t>
        </is>
      </c>
      <c r="E49" t="inlineStr">
        <is>
          <t>EKERÖ</t>
        </is>
      </c>
      <c r="G49" t="n">
        <v>10.8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48839-2023</t>
        </is>
      </c>
      <c r="B50" s="1" t="n">
        <v>45209</v>
      </c>
      <c r="C50" s="1" t="n">
        <v>45750</v>
      </c>
      <c r="D50" t="inlineStr">
        <is>
          <t>STOCKHOLMS LÄN</t>
        </is>
      </c>
      <c r="E50" t="inlineStr">
        <is>
          <t>EKERÖ</t>
        </is>
      </c>
      <c r="F50" t="inlineStr">
        <is>
          <t>Kyrkan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11481-2024</t>
        </is>
      </c>
      <c r="B51" s="1" t="n">
        <v>45372</v>
      </c>
      <c r="C51" s="1" t="n">
        <v>45750</v>
      </c>
      <c r="D51" t="inlineStr">
        <is>
          <t>STOCKHOLMS LÄN</t>
        </is>
      </c>
      <c r="E51" t="inlineStr">
        <is>
          <t>EKERÖ</t>
        </is>
      </c>
      <c r="F51" t="inlineStr">
        <is>
          <t>Övriga statliga verk och myndigheter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55724-2024</t>
        </is>
      </c>
      <c r="B52" s="1" t="n">
        <v>45622</v>
      </c>
      <c r="C52" s="1" t="n">
        <v>45750</v>
      </c>
      <c r="D52" t="inlineStr">
        <is>
          <t>STOCKHOLMS LÄN</t>
        </is>
      </c>
      <c r="E52" t="inlineStr">
        <is>
          <t>EKERÖ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55866-2024</t>
        </is>
      </c>
      <c r="B53" s="1" t="n">
        <v>45623</v>
      </c>
      <c r="C53" s="1" t="n">
        <v>45750</v>
      </c>
      <c r="D53" t="inlineStr">
        <is>
          <t>STOCKHOLMS LÄN</t>
        </is>
      </c>
      <c r="E53" t="inlineStr">
        <is>
          <t>EKERÖ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55886-2024</t>
        </is>
      </c>
      <c r="B54" s="1" t="n">
        <v>45623</v>
      </c>
      <c r="C54" s="1" t="n">
        <v>45750</v>
      </c>
      <c r="D54" t="inlineStr">
        <is>
          <t>STOCKHOLMS LÄN</t>
        </is>
      </c>
      <c r="E54" t="inlineStr">
        <is>
          <t>EKERÖ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55892-2024</t>
        </is>
      </c>
      <c r="B55" s="1" t="n">
        <v>45623</v>
      </c>
      <c r="C55" s="1" t="n">
        <v>45750</v>
      </c>
      <c r="D55" t="inlineStr">
        <is>
          <t>STOCKHOLMS LÄN</t>
        </is>
      </c>
      <c r="E55" t="inlineStr">
        <is>
          <t>EKERÖ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56002-2024</t>
        </is>
      </c>
      <c r="B56" s="1" t="n">
        <v>45623</v>
      </c>
      <c r="C56" s="1" t="n">
        <v>45750</v>
      </c>
      <c r="D56" t="inlineStr">
        <is>
          <t>STOCKHOLMS LÄN</t>
        </is>
      </c>
      <c r="E56" t="inlineStr">
        <is>
          <t>EKERÖ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56845-2024</t>
        </is>
      </c>
      <c r="B57" s="1" t="n">
        <v>45628</v>
      </c>
      <c r="C57" s="1" t="n">
        <v>45750</v>
      </c>
      <c r="D57" t="inlineStr">
        <is>
          <t>STOCKHOLMS LÄN</t>
        </is>
      </c>
      <c r="E57" t="inlineStr">
        <is>
          <t>EKERÖ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56849-2024</t>
        </is>
      </c>
      <c r="B58" s="1" t="n">
        <v>45628</v>
      </c>
      <c r="C58" s="1" t="n">
        <v>45750</v>
      </c>
      <c r="D58" t="inlineStr">
        <is>
          <t>STOCKHOLMS LÄN</t>
        </is>
      </c>
      <c r="E58" t="inlineStr">
        <is>
          <t>EKERÖ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60509-2024</t>
        </is>
      </c>
      <c r="B59" s="1" t="n">
        <v>45643</v>
      </c>
      <c r="C59" s="1" t="n">
        <v>45750</v>
      </c>
      <c r="D59" t="inlineStr">
        <is>
          <t>STOCKHOLMS LÄN</t>
        </is>
      </c>
      <c r="E59" t="inlineStr">
        <is>
          <t>EKERÖ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60755-2024</t>
        </is>
      </c>
      <c r="B60" s="1" t="n">
        <v>45644</v>
      </c>
      <c r="C60" s="1" t="n">
        <v>45750</v>
      </c>
      <c r="D60" t="inlineStr">
        <is>
          <t>STOCKHOLMS LÄN</t>
        </is>
      </c>
      <c r="E60" t="inlineStr">
        <is>
          <t>EKERÖ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61039-2024</t>
        </is>
      </c>
      <c r="B61" s="1" t="n">
        <v>45645</v>
      </c>
      <c r="C61" s="1" t="n">
        <v>45750</v>
      </c>
      <c r="D61" t="inlineStr">
        <is>
          <t>STOCKHOLMS LÄN</t>
        </is>
      </c>
      <c r="E61" t="inlineStr">
        <is>
          <t>EKERÖ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61080-2024</t>
        </is>
      </c>
      <c r="B62" s="1" t="n">
        <v>45645</v>
      </c>
      <c r="C62" s="1" t="n">
        <v>45750</v>
      </c>
      <c r="D62" t="inlineStr">
        <is>
          <t>STOCKHOLMS LÄN</t>
        </is>
      </c>
      <c r="E62" t="inlineStr">
        <is>
          <t>EKERÖ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61217-2024</t>
        </is>
      </c>
      <c r="B63" s="1" t="n">
        <v>45645</v>
      </c>
      <c r="C63" s="1" t="n">
        <v>45750</v>
      </c>
      <c r="D63" t="inlineStr">
        <is>
          <t>STOCKHOLMS LÄN</t>
        </is>
      </c>
      <c r="E63" t="inlineStr">
        <is>
          <t>EKERÖ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61209-2024</t>
        </is>
      </c>
      <c r="B64" s="1" t="n">
        <v>45645</v>
      </c>
      <c r="C64" s="1" t="n">
        <v>45750</v>
      </c>
      <c r="D64" t="inlineStr">
        <is>
          <t>STOCKHOLMS LÄN</t>
        </is>
      </c>
      <c r="E64" t="inlineStr">
        <is>
          <t>EKERÖ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3874-2025</t>
        </is>
      </c>
      <c r="B65" s="1" t="n">
        <v>45684</v>
      </c>
      <c r="C65" s="1" t="n">
        <v>45750</v>
      </c>
      <c r="D65" t="inlineStr">
        <is>
          <t>STOCKHOLMS LÄN</t>
        </is>
      </c>
      <c r="E65" t="inlineStr">
        <is>
          <t>EKERÖ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3878-2025</t>
        </is>
      </c>
      <c r="B66" s="1" t="n">
        <v>45684</v>
      </c>
      <c r="C66" s="1" t="n">
        <v>45750</v>
      </c>
      <c r="D66" t="inlineStr">
        <is>
          <t>STOCKHOLMS LÄN</t>
        </is>
      </c>
      <c r="E66" t="inlineStr">
        <is>
          <t>EKERÖ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>
      <c r="A67" t="inlineStr">
        <is>
          <t>A 12690-2025</t>
        </is>
      </c>
      <c r="B67" s="1" t="n">
        <v>45733</v>
      </c>
      <c r="C67" s="1" t="n">
        <v>45750</v>
      </c>
      <c r="D67" t="inlineStr">
        <is>
          <t>STOCKHOLMS LÄN</t>
        </is>
      </c>
      <c r="E67" t="inlineStr">
        <is>
          <t>EKERÖ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2025-04-03T20:43:04Z</dcterms:created>
  <dcterms:modified xmlns:dcterms="http://purl.org/dc/terms/" xmlns:xsi="http://www.w3.org/2001/XMLSchema-instance" xsi:type="dcterms:W3CDTF">2025-04-03T20:43:04Z</dcterms:modified>
</cp:coreProperties>
</file>