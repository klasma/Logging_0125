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46201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46201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46201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46201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46201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46201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46201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Grönpyrola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s="1" t="n">
        <v>45937</v>
      </c>
      <c r="C9" s="1" t="n">
        <v>46201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Jättemusseron
Motaggsvamp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48839-2023</t>
        </is>
      </c>
      <c r="B10" s="1" t="n">
        <v>45209</v>
      </c>
      <c r="C10" s="1" t="n">
        <v>46201</v>
      </c>
      <c r="D10" t="inlineStr">
        <is>
          <t>STOCKHOLMS LÄN</t>
        </is>
      </c>
      <c r="E10" t="inlineStr">
        <is>
          <t>EKERÖ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Sångsvan</t>
        </is>
      </c>
      <c r="S10">
        <f>HYPERLINK("https://klasma.github.io/Logging_0125/artfynd/A 48839-2023 artfynd.xlsx", "A 48839-2023")</f>
        <v/>
      </c>
      <c r="T10">
        <f>HYPERLINK("https://klasma.github.io/Logging_0125/kartor/A 48839-2023 karta.png", "A 48839-2023")</f>
        <v/>
      </c>
      <c r="V10">
        <f>HYPERLINK("https://klasma.github.io/Logging_0125/klagomål/A 48839-2023 FSC-klagomål.docx", "A 48839-2023")</f>
        <v/>
      </c>
      <c r="W10">
        <f>HYPERLINK("https://klasma.github.io/Logging_0125/klagomålsmail/A 48839-2023 FSC-klagomål mail.docx", "A 48839-2023")</f>
        <v/>
      </c>
      <c r="X10">
        <f>HYPERLINK("https://klasma.github.io/Logging_0125/tillsyn/A 48839-2023 tillsynsbegäran.docx", "A 48839-2023")</f>
        <v/>
      </c>
      <c r="Y10">
        <f>HYPERLINK("https://klasma.github.io/Logging_0125/tillsynsmail/A 48839-2023 tillsynsbegäran mail.docx", "A 48839-2023")</f>
        <v/>
      </c>
      <c r="Z10">
        <f>HYPERLINK("https://klasma.github.io/Logging_0125/fåglar/A 48839-2023 prioriterade fågelarter.docx", "A 48839-2023")</f>
        <v/>
      </c>
    </row>
    <row r="11" ht="15" customHeight="1">
      <c r="A11" t="inlineStr">
        <is>
          <t>A 48988-2025</t>
        </is>
      </c>
      <c r="B11" s="1" t="n">
        <v>45936</v>
      </c>
      <c r="C11" s="1" t="n">
        <v>46201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Ängsvaxing agg.</t>
        </is>
      </c>
      <c r="S11">
        <f>HYPERLINK("https://klasma.github.io/Logging_0125/artfynd/A 48988-2025 artfynd.xlsx", "A 48988-2025")</f>
        <v/>
      </c>
      <c r="T11">
        <f>HYPERLINK("https://klasma.github.io/Logging_0125/kartor/A 48988-2025 karta.png", "A 48988-2025")</f>
        <v/>
      </c>
      <c r="V11">
        <f>HYPERLINK("https://klasma.github.io/Logging_0125/klagomål/A 48988-2025 FSC-klagomål.docx", "A 48988-2025")</f>
        <v/>
      </c>
      <c r="W11">
        <f>HYPERLINK("https://klasma.github.io/Logging_0125/klagomålsmail/A 48988-2025 FSC-klagomål mail.docx", "A 48988-2025")</f>
        <v/>
      </c>
      <c r="X11">
        <f>HYPERLINK("https://klasma.github.io/Logging_0125/tillsyn/A 48988-2025 tillsynsbegäran.docx", "A 48988-2025")</f>
        <v/>
      </c>
      <c r="Y11">
        <f>HYPERLINK("https://klasma.github.io/Logging_0125/tillsynsmail/A 48988-2025 tillsynsbegäran mail.docx", "A 48988-2025")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46201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3221-2022</t>
        </is>
      </c>
      <c r="B13" s="1" t="n">
        <v>44582</v>
      </c>
      <c r="C13" s="1" t="n">
        <v>46201</v>
      </c>
      <c r="D13" t="inlineStr">
        <is>
          <t>STOCKHOLMS LÄN</t>
        </is>
      </c>
      <c r="E13" t="inlineStr">
        <is>
          <t>EKERÖ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HYPERLINK("https://klasma.github.io/Logging_0125/artfynd/A 3221-2022 artfynd.xlsx", "A 3221-2022")</f>
        <v/>
      </c>
      <c r="T13">
        <f>HYPERLINK("https://klasma.github.io/Logging_0125/kartor/A 3221-2022 karta.png", "A 3221-2022")</f>
        <v/>
      </c>
      <c r="V13">
        <f>HYPERLINK("https://klasma.github.io/Logging_0125/klagomål/A 3221-2022 FSC-klagomål.docx", "A 3221-2022")</f>
        <v/>
      </c>
      <c r="W13">
        <f>HYPERLINK("https://klasma.github.io/Logging_0125/klagomålsmail/A 3221-2022 FSC-klagomål mail.docx", "A 3221-2022")</f>
        <v/>
      </c>
      <c r="X13">
        <f>HYPERLINK("https://klasma.github.io/Logging_0125/tillsyn/A 3221-2022 tillsynsbegäran.docx", "A 3221-2022")</f>
        <v/>
      </c>
      <c r="Y13">
        <f>HYPERLINK("https://klasma.github.io/Logging_0125/tillsynsmail/A 3221-2022 tillsynsbegäran mail.docx", "A 3221-2022")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46201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46201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2533-2026</t>
        </is>
      </c>
      <c r="B16" s="1" t="n">
        <v>46037</v>
      </c>
      <c r="C16" s="1" t="n">
        <v>46201</v>
      </c>
      <c r="D16" t="inlineStr">
        <is>
          <t>STOCKHOLMS LÄN</t>
        </is>
      </c>
      <c r="E16" t="inlineStr">
        <is>
          <t>EKERÖ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HYPERLINK("https://klasma.github.io/Logging_0125/artfynd/A 2533-2026 artfynd.xlsx", "A 2533-2026")</f>
        <v/>
      </c>
      <c r="T16">
        <f>HYPERLINK("https://klasma.github.io/Logging_0125/kartor/A 2533-2026 karta.png", "A 2533-2026")</f>
        <v/>
      </c>
      <c r="V16">
        <f>HYPERLINK("https://klasma.github.io/Logging_0125/klagomål/A 2533-2026 FSC-klagomål.docx", "A 2533-2026")</f>
        <v/>
      </c>
      <c r="W16">
        <f>HYPERLINK("https://klasma.github.io/Logging_0125/klagomålsmail/A 2533-2026 FSC-klagomål mail.docx", "A 2533-2026")</f>
        <v/>
      </c>
      <c r="X16">
        <f>HYPERLINK("https://klasma.github.io/Logging_0125/tillsyn/A 2533-2026 tillsynsbegäran.docx", "A 2533-2026")</f>
        <v/>
      </c>
      <c r="Y16">
        <f>HYPERLINK("https://klasma.github.io/Logging_0125/tillsynsmail/A 2533-2026 tillsynsbegäran mail.docx", "A 2533-2026")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46201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46201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46201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3222-2022</t>
        </is>
      </c>
      <c r="B20" s="1" t="n">
        <v>44582</v>
      </c>
      <c r="C20" s="1" t="n">
        <v>46201</v>
      </c>
      <c r="D20" t="inlineStr">
        <is>
          <t>STOCKHOLMS LÄN</t>
        </is>
      </c>
      <c r="E20" t="inlineStr">
        <is>
          <t>EKERÖ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46201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</v>
      </c>
      <c r="C22" s="1" t="n">
        <v>46201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</v>
      </c>
      <c r="C23" s="1" t="n">
        <v>46201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35955-2023</t>
        </is>
      </c>
      <c r="B24" s="1" t="n">
        <v>45148</v>
      </c>
      <c r="C24" s="1" t="n">
        <v>46201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46201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</v>
      </c>
      <c r="C26" s="1" t="n">
        <v>46201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</v>
      </c>
      <c r="C27" s="1" t="n">
        <v>46201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60755-2024</t>
        </is>
      </c>
      <c r="B28" s="1" t="n">
        <v>45644</v>
      </c>
      <c r="C28" s="1" t="n">
        <v>46201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60728-2022</t>
        </is>
      </c>
      <c r="B29" s="1" t="n">
        <v>44913</v>
      </c>
      <c r="C29" s="1" t="n">
        <v>46201</v>
      </c>
      <c r="D29" t="inlineStr">
        <is>
          <t>STOCKHOLMS LÄN</t>
        </is>
      </c>
      <c r="E29" t="inlineStr">
        <is>
          <t>EKERÖ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</v>
      </c>
      <c r="C30" s="1" t="n">
        <v>46201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</v>
      </c>
      <c r="C31" s="1" t="n">
        <v>46201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</v>
      </c>
      <c r="C32" s="1" t="n">
        <v>46201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20399-2026</t>
        </is>
      </c>
      <c r="B33" s="1" t="n">
        <v>46139</v>
      </c>
      <c r="C33" s="1" t="n">
        <v>46201</v>
      </c>
      <c r="D33" t="inlineStr">
        <is>
          <t>STOCKHOLMS LÄN</t>
        </is>
      </c>
      <c r="E33" t="inlineStr">
        <is>
          <t>EKERÖ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20398-2026</t>
        </is>
      </c>
      <c r="B34" s="1" t="n">
        <v>46139</v>
      </c>
      <c r="C34" s="1" t="n">
        <v>46201</v>
      </c>
      <c r="D34" t="inlineStr">
        <is>
          <t>STOCKHOLMS LÄN</t>
        </is>
      </c>
      <c r="E34" t="inlineStr">
        <is>
          <t>EKERÖ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35047-2025</t>
        </is>
      </c>
      <c r="B35" s="1" t="n">
        <v>45852</v>
      </c>
      <c r="C35" s="1" t="n">
        <v>46201</v>
      </c>
      <c r="D35" t="inlineStr">
        <is>
          <t>STOCKHOLMS LÄN</t>
        </is>
      </c>
      <c r="E35" t="inlineStr">
        <is>
          <t>EKERÖ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20898-2026</t>
        </is>
      </c>
      <c r="B36" s="1" t="n">
        <v>46142</v>
      </c>
      <c r="C36" s="1" t="n">
        <v>46201</v>
      </c>
      <c r="D36" t="inlineStr">
        <is>
          <t>STOCKHOLMS LÄN</t>
        </is>
      </c>
      <c r="E36" t="inlineStr">
        <is>
          <t>EKERÖ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2026-06-28T00:57:43Z</dcterms:created>
  <dcterms:modified xmlns:dcterms="http://purl.org/dc/terms/" xmlns:xsi="http://www.w3.org/2001/XMLSchema-instance" xsi:type="dcterms:W3CDTF">2026-06-28T00:57:43Z</dcterms:modified>
</cp:coreProperties>
</file>