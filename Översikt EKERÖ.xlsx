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46190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46190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46190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46190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35953-2023</t>
        </is>
      </c>
      <c r="B6" s="1" t="n">
        <v>45148</v>
      </c>
      <c r="C6" s="1" t="n">
        <v>46190</v>
      </c>
      <c r="D6" t="inlineStr">
        <is>
          <t>STOCKHOLMS LÄN</t>
        </is>
      </c>
      <c r="E6" t="inlineStr">
        <is>
          <t>EKERÖ</t>
        </is>
      </c>
      <c r="G6" t="n">
        <v>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Vanlig groda</t>
        </is>
      </c>
      <c r="S6">
        <f>HYPERLINK("https://klasma.github.io/Logging_0125/artfynd/A 35953-2023 artfynd.xlsx", "A 35953-2023")</f>
        <v/>
      </c>
      <c r="T6">
        <f>HYPERLINK("https://klasma.github.io/Logging_0125/kartor/A 35953-2023 karta.png", "A 35953-2023")</f>
        <v/>
      </c>
      <c r="V6">
        <f>HYPERLINK("https://klasma.github.io/Logging_0125/klagomål/A 35953-2023 FSC-klagomål.docx", "A 35953-2023")</f>
        <v/>
      </c>
      <c r="W6">
        <f>HYPERLINK("https://klasma.github.io/Logging_0125/klagomålsmail/A 35953-2023 FSC-klagomål mail.docx", "A 35953-2023")</f>
        <v/>
      </c>
      <c r="X6">
        <f>HYPERLINK("https://klasma.github.io/Logging_0125/tillsyn/A 35953-2023 tillsynsbegäran.docx", "A 35953-2023")</f>
        <v/>
      </c>
      <c r="Y6">
        <f>HYPERLINK("https://klasma.github.io/Logging_0125/tillsynsmail/A 35953-2023 tillsynsbegäran mail.docx", "A 35953-2023")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46190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46190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46190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13891-2022</t>
        </is>
      </c>
      <c r="B10" s="1" t="n">
        <v>44646</v>
      </c>
      <c r="C10" s="1" t="n">
        <v>46190</v>
      </c>
      <c r="D10" t="inlineStr">
        <is>
          <t>STOCKHOLMS LÄN</t>
        </is>
      </c>
      <c r="E10" t="inlineStr">
        <is>
          <t>EKERÖ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Granbarkgnagare</t>
        </is>
      </c>
      <c r="S10">
        <f>HYPERLINK("https://klasma.github.io/Logging_0125/artfynd/A 13891-2022 artfynd.xlsx", "A 13891-2022")</f>
        <v/>
      </c>
      <c r="T10">
        <f>HYPERLINK("https://klasma.github.io/Logging_0125/kartor/A 13891-2022 karta.png", "A 13891-2022")</f>
        <v/>
      </c>
      <c r="V10">
        <f>HYPERLINK("https://klasma.github.io/Logging_0125/klagomål/A 13891-2022 FSC-klagomål.docx", "A 13891-2022")</f>
        <v/>
      </c>
      <c r="W10">
        <f>HYPERLINK("https://klasma.github.io/Logging_0125/klagomålsmail/A 13891-2022 FSC-klagomål mail.docx", "A 13891-2022")</f>
        <v/>
      </c>
      <c r="X10">
        <f>HYPERLINK("https://klasma.github.io/Logging_0125/tillsyn/A 13891-2022 tillsynsbegäran.docx", "A 13891-2022")</f>
        <v/>
      </c>
      <c r="Y10">
        <f>HYPERLINK("https://klasma.github.io/Logging_0125/tillsynsmail/A 13891-2022 tillsynsbegäran mail.docx", "A 13891-2022")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46190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46190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17520-2026</t>
        </is>
      </c>
      <c r="B13" s="1" t="n">
        <v>46119</v>
      </c>
      <c r="C13" s="1" t="n">
        <v>46190</v>
      </c>
      <c r="D13" t="inlineStr">
        <is>
          <t>STOCKHOLMS LÄN</t>
        </is>
      </c>
      <c r="E13" t="inlineStr">
        <is>
          <t>EKERÖ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Gulgrön kantmusseron</t>
        </is>
      </c>
      <c r="S13">
        <f>HYPERLINK("https://klasma.github.io/Logging_0125/artfynd/A 17520-2026 artfynd.xlsx", "A 17520-2026")</f>
        <v/>
      </c>
      <c r="T13">
        <f>HYPERLINK("https://klasma.github.io/Logging_0125/kartor/A 17520-2026 karta.png", "A 17520-2026")</f>
        <v/>
      </c>
      <c r="V13">
        <f>HYPERLINK("https://klasma.github.io/Logging_0125/klagomål/A 17520-2026 FSC-klagomål.docx", "A 17520-2026")</f>
        <v/>
      </c>
      <c r="W13">
        <f>HYPERLINK("https://klasma.github.io/Logging_0125/klagomålsmail/A 17520-2026 FSC-klagomål mail.docx", "A 17520-2026")</f>
        <v/>
      </c>
      <c r="X13">
        <f>HYPERLINK("https://klasma.github.io/Logging_0125/tillsyn/A 17520-2026 tillsynsbegäran.docx", "A 17520-2026")</f>
        <v/>
      </c>
      <c r="Y13">
        <f>HYPERLINK("https://klasma.github.io/Logging_0125/tillsynsmail/A 17520-2026 tillsynsbegäran mail.docx", "A 17520-2026")</f>
        <v/>
      </c>
    </row>
    <row r="14" ht="15" customHeight="1">
      <c r="A14" t="inlineStr">
        <is>
          <t>A 16242-2022</t>
        </is>
      </c>
      <c r="B14" s="1" t="n">
        <v>44670</v>
      </c>
      <c r="C14" s="1" t="n">
        <v>46190</v>
      </c>
      <c r="D14" t="inlineStr">
        <is>
          <t>STOCKHOLMS LÄN</t>
        </is>
      </c>
      <c r="E14" t="inlineStr">
        <is>
          <t>EKERÖ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36063-2022</t>
        </is>
      </c>
      <c r="B15" s="1" t="n">
        <v>44802</v>
      </c>
      <c r="C15" s="1" t="n">
        <v>46190</v>
      </c>
      <c r="D15" t="inlineStr">
        <is>
          <t>STOCKHOLMS LÄN</t>
        </is>
      </c>
      <c r="E15" t="inlineStr">
        <is>
          <t>EKERÖ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60755-2024</t>
        </is>
      </c>
      <c r="B16" s="1" t="n">
        <v>45644.56945601852</v>
      </c>
      <c r="C16" s="1" t="n">
        <v>46190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3219-2022</t>
        </is>
      </c>
      <c r="B17" s="1" t="n">
        <v>44582</v>
      </c>
      <c r="C17" s="1" t="n">
        <v>46190</v>
      </c>
      <c r="D17" t="inlineStr">
        <is>
          <t>STOCKHOLMS LÄN</t>
        </is>
      </c>
      <c r="E17" t="inlineStr">
        <is>
          <t>EKERÖ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3221-2022</t>
        </is>
      </c>
      <c r="B18" s="1" t="n">
        <v>44582.80788194444</v>
      </c>
      <c r="C18" s="1" t="n">
        <v>46190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45808.54792824074</v>
      </c>
      <c r="C19" s="1" t="n">
        <v>46190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55724-2024</t>
        </is>
      </c>
      <c r="B20" s="1" t="n">
        <v>45622.81020833334</v>
      </c>
      <c r="C20" s="1" t="n">
        <v>46190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35955-2023</t>
        </is>
      </c>
      <c r="B21" s="1" t="n">
        <v>45148</v>
      </c>
      <c r="C21" s="1" t="n">
        <v>46190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46190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</v>
      </c>
      <c r="C23" s="1" t="n">
        <v>46190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46190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46190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46190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46190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46190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46190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2533-2026</t>
        </is>
      </c>
      <c r="B30" s="1" t="n">
        <v>46037</v>
      </c>
      <c r="C30" s="1" t="n">
        <v>46190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46190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46190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46190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46190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35047-2025</t>
        </is>
      </c>
      <c r="B35" s="1" t="n">
        <v>45852.35094907408</v>
      </c>
      <c r="C35" s="1" t="n">
        <v>46190</v>
      </c>
      <c r="D35" t="inlineStr">
        <is>
          <t>STOCKHOLMS LÄN</t>
        </is>
      </c>
      <c r="E35" t="inlineStr">
        <is>
          <t>EKERÖ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20898-2026</t>
        </is>
      </c>
      <c r="B36" s="1" t="n">
        <v>46142.45217592592</v>
      </c>
      <c r="C36" s="1" t="n">
        <v>46190</v>
      </c>
      <c r="D36" t="inlineStr">
        <is>
          <t>STOCKHOLMS LÄN</t>
        </is>
      </c>
      <c r="E36" t="inlineStr">
        <is>
          <t>EKERÖ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2026-06-17T09:24:31Z</dcterms:created>
  <dcterms:modified xmlns:dcterms="http://purl.org/dc/terms/" xmlns:xsi="http://www.w3.org/2001/XMLSchema-instance" xsi:type="dcterms:W3CDTF">2026-06-17T09:24:31Z</dcterms:modified>
</cp:coreProperties>
</file>