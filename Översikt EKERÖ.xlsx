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46043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46043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46043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46043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46043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46043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Ängsvaxskivling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46043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26588-2025</t>
        </is>
      </c>
      <c r="B9" s="1" t="n">
        <v>45807.76052083333</v>
      </c>
      <c r="C9" s="1" t="n">
        <v>46043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HYPERLINK("https://klasma.github.io/Logging_0125/artfynd/A 26588-2025 artfynd.xlsx", "A 26588-2025")</f>
        <v/>
      </c>
      <c r="T9">
        <f>HYPERLINK("https://klasma.github.io/Logging_0125/kartor/A 26588-2025 karta.png", "A 26588-2025")</f>
        <v/>
      </c>
      <c r="V9">
        <f>HYPERLINK("https://klasma.github.io/Logging_0125/klagomål/A 26588-2025 FSC-klagomål.docx", "A 26588-2025")</f>
        <v/>
      </c>
      <c r="W9">
        <f>HYPERLINK("https://klasma.github.io/Logging_0125/klagomålsmail/A 26588-2025 FSC-klagomål mail.docx", "A 26588-2025")</f>
        <v/>
      </c>
      <c r="X9">
        <f>HYPERLINK("https://klasma.github.io/Logging_0125/tillsyn/A 26588-2025 tillsynsbegäran.docx", "A 26588-2025")</f>
        <v/>
      </c>
      <c r="Y9">
        <f>HYPERLINK("https://klasma.github.io/Logging_0125/tillsynsmail/A 26588-2025 tillsynsbegäran mail.docx", "A 26588-2025")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46043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46043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46043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46043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52545-2024</t>
        </is>
      </c>
      <c r="B14" s="1" t="n">
        <v>45609.63619212963</v>
      </c>
      <c r="C14" s="1" t="n">
        <v>46043</v>
      </c>
      <c r="D14" t="inlineStr">
        <is>
          <t>STOCKHOLMS LÄN</t>
        </is>
      </c>
      <c r="E14" t="inlineStr">
        <is>
          <t>EKERÖ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HYPERLINK("https://klasma.github.io/Logging_0125/artfynd/A 52545-2024 artfynd.xlsx", "A 52545-2024")</f>
        <v/>
      </c>
      <c r="T14">
        <f>HYPERLINK("https://klasma.github.io/Logging_0125/kartor/A 52545-2024 karta.png", "A 52545-2024")</f>
        <v/>
      </c>
      <c r="V14">
        <f>HYPERLINK("https://klasma.github.io/Logging_0125/klagomål/A 52545-2024 FSC-klagomål.docx", "A 52545-2024")</f>
        <v/>
      </c>
      <c r="W14">
        <f>HYPERLINK("https://klasma.github.io/Logging_0125/klagomålsmail/A 52545-2024 FSC-klagomål mail.docx", "A 52545-2024")</f>
        <v/>
      </c>
      <c r="X14">
        <f>HYPERLINK("https://klasma.github.io/Logging_0125/tillsyn/A 52545-2024 tillsynsbegäran.docx", "A 52545-2024")</f>
        <v/>
      </c>
      <c r="Y14">
        <f>HYPERLINK("https://klasma.github.io/Logging_0125/tillsynsmail/A 52545-2024 tillsynsbegäran mail.docx", "A 52545-2024")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46043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46043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46043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3702-2021</t>
        </is>
      </c>
      <c r="B18" s="1" t="n">
        <v>44221</v>
      </c>
      <c r="C18" s="1" t="n">
        <v>46043</v>
      </c>
      <c r="D18" t="inlineStr">
        <is>
          <t>STOCKHOLMS LÄN</t>
        </is>
      </c>
      <c r="E18" t="inlineStr">
        <is>
          <t>EKERÖ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46043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46043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2533-2026</t>
        </is>
      </c>
      <c r="B21" s="1" t="n">
        <v>46037.44622685185</v>
      </c>
      <c r="C21" s="1" t="n">
        <v>46043</v>
      </c>
      <c r="D21" t="inlineStr">
        <is>
          <t>STOCKHOLMS LÄN</t>
        </is>
      </c>
      <c r="E21" t="inlineStr">
        <is>
          <t>EKERÖ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2535-2026</t>
        </is>
      </c>
      <c r="B22" s="1" t="n">
        <v>46037.4490625</v>
      </c>
      <c r="C22" s="1" t="n">
        <v>46043</v>
      </c>
      <c r="D22" t="inlineStr">
        <is>
          <t>STOCKHOLMS LÄN</t>
        </is>
      </c>
      <c r="E22" t="inlineStr">
        <is>
          <t>EKERÖ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46043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46043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46043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61217-2024</t>
        </is>
      </c>
      <c r="B26" s="1" t="n">
        <v>45645.65825231482</v>
      </c>
      <c r="C26" s="1" t="n">
        <v>46043</v>
      </c>
      <c r="D26" t="inlineStr">
        <is>
          <t>STOCKHOLMS LÄN</t>
        </is>
      </c>
      <c r="E26" t="inlineStr">
        <is>
          <t>EKERÖ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63378-2025</t>
        </is>
      </c>
      <c r="B27" s="1" t="n">
        <v>46010.72528935185</v>
      </c>
      <c r="C27" s="1" t="n">
        <v>46043</v>
      </c>
      <c r="D27" t="inlineStr">
        <is>
          <t>STOCKHOLMS LÄN</t>
        </is>
      </c>
      <c r="E27" t="inlineStr">
        <is>
          <t>EKERÖ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31607-2025</t>
        </is>
      </c>
      <c r="B28" s="1" t="n">
        <v>45833</v>
      </c>
      <c r="C28" s="1" t="n">
        <v>46043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3222-2022</t>
        </is>
      </c>
      <c r="B29" s="1" t="n">
        <v>44582</v>
      </c>
      <c r="C29" s="1" t="n">
        <v>46043</v>
      </c>
      <c r="D29" t="inlineStr">
        <is>
          <t>STOCKHOLMS LÄN</t>
        </is>
      </c>
      <c r="E29" t="inlineStr">
        <is>
          <t>EKERÖ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34073-2025</t>
        </is>
      </c>
      <c r="B30" s="1" t="n">
        <v>45845</v>
      </c>
      <c r="C30" s="1" t="n">
        <v>46043</v>
      </c>
      <c r="D30" t="inlineStr">
        <is>
          <t>STOCKHOLMS LÄN</t>
        </is>
      </c>
      <c r="E30" t="inlineStr">
        <is>
          <t>EKERÖ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35047-2025</t>
        </is>
      </c>
      <c r="B31" s="1" t="n">
        <v>45852.35094907408</v>
      </c>
      <c r="C31" s="1" t="n">
        <v>46043</v>
      </c>
      <c r="D31" t="inlineStr">
        <is>
          <t>STOCKHOLMS LÄN</t>
        </is>
      </c>
      <c r="E31" t="inlineStr">
        <is>
          <t>EKERÖ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37245-2025</t>
        </is>
      </c>
      <c r="B32" s="1" t="n">
        <v>45876.39396990741</v>
      </c>
      <c r="C32" s="1" t="n">
        <v>46043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3219-2022</t>
        </is>
      </c>
      <c r="B33" s="1" t="n">
        <v>44582</v>
      </c>
      <c r="C33" s="1" t="n">
        <v>46043</v>
      </c>
      <c r="D33" t="inlineStr">
        <is>
          <t>STOCKHOLMS LÄN</t>
        </is>
      </c>
      <c r="E33" t="inlineStr">
        <is>
          <t>EKERÖ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3221-2022</t>
        </is>
      </c>
      <c r="B34" s="1" t="n">
        <v>44582.80788194444</v>
      </c>
      <c r="C34" s="1" t="n">
        <v>46043</v>
      </c>
      <c r="D34" t="inlineStr">
        <is>
          <t>STOCKHOLMS LÄN</t>
        </is>
      </c>
      <c r="E34" t="inlineStr">
        <is>
          <t>EKERÖ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60755-2024</t>
        </is>
      </c>
      <c r="B35" s="1" t="n">
        <v>45644.56945601852</v>
      </c>
      <c r="C35" s="1" t="n">
        <v>46043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19935-2025</t>
        </is>
      </c>
      <c r="B36" s="1" t="n">
        <v>45771</v>
      </c>
      <c r="C36" s="1" t="n">
        <v>46043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55724-2024</t>
        </is>
      </c>
      <c r="B37" s="1" t="n">
        <v>45622.81020833334</v>
      </c>
      <c r="C37" s="1" t="n">
        <v>46043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35955-2023</t>
        </is>
      </c>
      <c r="B38" s="1" t="n">
        <v>45148</v>
      </c>
      <c r="C38" s="1" t="n">
        <v>46043</v>
      </c>
      <c r="D38" t="inlineStr">
        <is>
          <t>STOCKHOLMS LÄN</t>
        </is>
      </c>
      <c r="E38" t="inlineStr">
        <is>
          <t>EKERÖ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60728-2022</t>
        </is>
      </c>
      <c r="B39" s="1" t="n">
        <v>44913</v>
      </c>
      <c r="C39" s="1" t="n">
        <v>46043</v>
      </c>
      <c r="D39" t="inlineStr">
        <is>
          <t>STOCKHOLMS LÄN</t>
        </is>
      </c>
      <c r="E39" t="inlineStr">
        <is>
          <t>EKERÖ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48839-2023</t>
        </is>
      </c>
      <c r="B40" s="1" t="n">
        <v>45209</v>
      </c>
      <c r="C40" s="1" t="n">
        <v>46043</v>
      </c>
      <c r="D40" t="inlineStr">
        <is>
          <t>STOCKHOLMS LÄN</t>
        </is>
      </c>
      <c r="E40" t="inlineStr">
        <is>
          <t>EKERÖ</t>
        </is>
      </c>
      <c r="F40" t="inlineStr">
        <is>
          <t>Kyrkan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2026-01-21T10:54:11Z</dcterms:created>
  <dcterms:modified xmlns:dcterms="http://purl.org/dc/terms/" xmlns:xsi="http://www.w3.org/2001/XMLSchema-instance" xsi:type="dcterms:W3CDTF">2026-01-21T10:54:11Z</dcterms:modified>
</cp:coreProperties>
</file>