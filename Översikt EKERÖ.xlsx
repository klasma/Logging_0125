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46266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46266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8216-2023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44974</v>
      </c>
      <c r="E4" s="1" t="n">
        <v>46266</v>
      </c>
      <c r="F4" t="inlineStr">
        <is>
          <t>STOCKHOLMS LÄN</t>
        </is>
      </c>
      <c r="G4" t="inlineStr">
        <is>
          <t>EKERÖ</t>
        </is>
      </c>
      <c r="H4" t="inlineStr">
        <is>
          <t>Kommuner</t>
        </is>
      </c>
      <c r="I4" t="n">
        <v>5</v>
      </c>
      <c r="J4" t="n">
        <v>2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9</v>
      </c>
      <c r="U4" t="n">
        <v>0</v>
      </c>
      <c r="V4" s="2" t="inlineStr">
        <is>
          <t>Gul lammticka
Blomkålssvamp
Granbarkgnagare
Thomsons trägnagare
Blåsippa
Kungsfågel</t>
        </is>
      </c>
      <c r="W4">
        <f>HYPERLINK("https://klasma.github.io/Logging_0125/artfynd/A 8216-2023 artfynd.xlsx", "A 8216-2023")</f>
        <v/>
      </c>
      <c r="X4">
        <f>HYPERLINK("https://klasma.github.io/Logging_0125/kartor/A 8216-2023 karta.png", "A 8216-2023")</f>
        <v/>
      </c>
      <c r="Y4">
        <f>HYPERLINK("https://klasma.github.io/Logging_0125/kartor_geotiff/A 8216-2023 georefererad karta.tif", "A 8216-2023")</f>
        <v/>
      </c>
      <c r="AA4">
        <f>HYPERLINK("https://klasma.github.io/Logging_0125/klagomål/A 8216-2023 FSC-klagomål.docx", "A 8216-2023")</f>
        <v/>
      </c>
      <c r="AB4">
        <f>HYPERLINK("https://klasma.github.io/Logging_0125/klagomålsmail/A 8216-2023 FSC-klagomål mail.docx", "A 8216-2023")</f>
        <v/>
      </c>
      <c r="AC4">
        <f>HYPERLINK("https://klasma.github.io/Logging_0125/tillsyn/A 8216-2023 tillsynsbegäran.docx", "A 8216-2023")</f>
        <v/>
      </c>
      <c r="AD4">
        <f>HYPERLINK("https://klasma.github.io/Logging_0125/tillsynsmail/A 8216-2023 tillsynsbegäran mail.docx", "A 8216-2023")</f>
        <v/>
      </c>
    </row>
    <row r="5" ht="15" customHeight="1">
      <c r="A5" t="inlineStr">
        <is>
          <t>A 35953-2023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45148</v>
      </c>
      <c r="E5" s="1" t="n">
        <v>46266</v>
      </c>
      <c r="F5" t="inlineStr">
        <is>
          <t>STOCKHOLMS LÄN</t>
        </is>
      </c>
      <c r="G5" t="inlineStr">
        <is>
          <t>EKERÖ</t>
        </is>
      </c>
      <c r="I5" t="n">
        <v>2.1</v>
      </c>
      <c r="J5" t="n">
        <v>2</v>
      </c>
      <c r="K5" t="n">
        <v>1</v>
      </c>
      <c r="L5" t="n">
        <v>1</v>
      </c>
      <c r="M5" t="n">
        <v>1</v>
      </c>
      <c r="N5" t="n">
        <v>1</v>
      </c>
      <c r="O5" t="n">
        <v>0</v>
      </c>
      <c r="P5" t="n">
        <v>0</v>
      </c>
      <c r="Q5" t="n">
        <v>3</v>
      </c>
      <c r="R5" t="n">
        <v>2</v>
      </c>
      <c r="S5" t="n">
        <v>6</v>
      </c>
      <c r="T5" t="n">
        <v>14</v>
      </c>
      <c r="U5" t="n">
        <v>9</v>
      </c>
      <c r="V5" s="2" t="inlineStr">
        <is>
          <t>Bombmurkla
Gul lammticka
Fyrflikig jordstjärna
Kamjordstjärna
Blåbär
Vanlig groda</t>
        </is>
      </c>
      <c r="W5">
        <f>HYPERLINK("https://klasma.github.io/Logging_0125/artfynd/A 35953-2023 artfynd.xlsx", "A 35953-2023")</f>
        <v/>
      </c>
      <c r="X5">
        <f>HYPERLINK("https://klasma.github.io/Logging_0125/kartor/A 35953-2023 karta.png", "A 35953-2023")</f>
        <v/>
      </c>
      <c r="Y5">
        <f>HYPERLINK("https://klasma.github.io/Logging_0125/kartor_geotiff/A 35953-2023 georefererad karta.tif", "A 35953-2023")</f>
        <v/>
      </c>
      <c r="AA5">
        <f>HYPERLINK("https://klasma.github.io/Logging_0125/klagomål/A 35953-2023 FSC-klagomål.docx", "A 35953-2023")</f>
        <v/>
      </c>
      <c r="AB5">
        <f>HYPERLINK("https://klasma.github.io/Logging_0125/klagomålsmail/A 35953-2023 FSC-klagomål mail.docx", "A 35953-2023")</f>
        <v/>
      </c>
      <c r="AC5">
        <f>HYPERLINK("https://klasma.github.io/Logging_0125/tillsyn/A 35953-2023 tillsynsbegäran.docx", "A 35953-2023")</f>
        <v/>
      </c>
      <c r="AD5">
        <f>HYPERLINK("https://klasma.github.io/Logging_0125/tillsynsmail/A 35953-2023 tillsynsbegäran mail.docx", "A 35953-2023")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46266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46266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5</v>
      </c>
      <c r="U7" t="n">
        <v>1</v>
      </c>
      <c r="V7" s="2" t="inlineStr">
        <is>
          <t>Läderbagge
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46266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46266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46266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46266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46266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46266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46266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46266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1793-2025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46266</v>
      </c>
      <c r="F16" t="inlineStr">
        <is>
          <t>STOCKHOLMS LÄN</t>
        </is>
      </c>
      <c r="G16" t="inlineStr">
        <is>
          <t>EKERÖ</t>
        </is>
      </c>
      <c r="I16" t="n">
        <v>1.7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17</v>
      </c>
      <c r="U16" t="n">
        <v>0</v>
      </c>
      <c r="V16" s="2" t="inlineStr">
        <is>
          <t>Mistel</t>
        </is>
      </c>
      <c r="W16">
        <f>HYPERLINK("https://klasma.github.io/Logging_0125/artfynd/A 1793-2025 artfynd.xlsx", "A 1793-2025")</f>
        <v/>
      </c>
      <c r="X16">
        <f>HYPERLINK("https://klasma.github.io/Logging_0125/kartor/A 1793-2025 karta.png", "A 1793-2025")</f>
        <v/>
      </c>
      <c r="Y16">
        <f>HYPERLINK("https://klasma.github.io/Logging_0125/kartor_geotiff/A 1793-2025 georefererad karta.tif", "A 1793-2025")</f>
        <v/>
      </c>
      <c r="AA16">
        <f>HYPERLINK("https://klasma.github.io/Logging_0125/klagomål/A 1793-2025 FSC-klagomål.docx", "A 1793-2025")</f>
        <v/>
      </c>
      <c r="AB16">
        <f>HYPERLINK("https://klasma.github.io/Logging_0125/klagomålsmail/A 1793-2025 FSC-klagomål mail.docx", "A 1793-2025")</f>
        <v/>
      </c>
      <c r="AC16">
        <f>HYPERLINK("https://klasma.github.io/Logging_0125/tillsyn/A 1793-2025 tillsynsbegäran.docx", "A 1793-2025")</f>
        <v/>
      </c>
      <c r="AD16">
        <f>HYPERLINK("https://klasma.github.io/Logging_0125/tillsynsmail/A 1793-2025 tillsynsbegäran mail.docx", "A 1793-2025")</f>
        <v/>
      </c>
    </row>
    <row r="17" ht="15" customHeight="1">
      <c r="A17" t="inlineStr">
        <is>
          <t>A 13794-2023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45007</v>
      </c>
      <c r="E17" s="1" t="n">
        <v>46266</v>
      </c>
      <c r="F17" t="inlineStr">
        <is>
          <t>STOCKHOLMS LÄN</t>
        </is>
      </c>
      <c r="G17" t="inlineStr">
        <is>
          <t>EKERÖ</t>
        </is>
      </c>
      <c r="I17" t="n">
        <v>4.8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Tallticka</t>
        </is>
      </c>
      <c r="W17">
        <f>HYPERLINK("https://klasma.github.io/Logging_0125/artfynd/A 13794-2023 artfynd.xlsx", "A 13794-2023")</f>
        <v/>
      </c>
      <c r="X17">
        <f>HYPERLINK("https://klasma.github.io/Logging_0125/kartor/A 13794-2023 karta.png", "A 13794-2023")</f>
        <v/>
      </c>
      <c r="Y17">
        <f>HYPERLINK("https://klasma.github.io/Logging_0125/kartor_geotiff/A 13794-2023 georefererad karta.tif", "A 13794-2023")</f>
        <v/>
      </c>
      <c r="AA17">
        <f>HYPERLINK("https://klasma.github.io/Logging_0125/klagomål/A 13794-2023 FSC-klagomål.docx", "A 13794-2023")</f>
        <v/>
      </c>
      <c r="AB17">
        <f>HYPERLINK("https://klasma.github.io/Logging_0125/klagomålsmail/A 13794-2023 FSC-klagomål mail.docx", "A 13794-2023")</f>
        <v/>
      </c>
      <c r="AC17">
        <f>HYPERLINK("https://klasma.github.io/Logging_0125/tillsyn/A 13794-2023 tillsynsbegäran.docx", "A 13794-2023")</f>
        <v/>
      </c>
      <c r="AD17">
        <f>HYPERLINK("https://klasma.github.io/Logging_0125/tillsynsmail/A 13794-2023 tillsynsbegäran mail.docx", "A 13794-2023")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46266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46266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46266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46266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50184-2023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45208</v>
      </c>
      <c r="E22" s="1" t="n">
        <v>46266</v>
      </c>
      <c r="F22" t="inlineStr">
        <is>
          <t>STOCKHOLMS LÄN</t>
        </is>
      </c>
      <c r="G22" t="inlineStr">
        <is>
          <t>EKERÖ</t>
        </is>
      </c>
      <c r="I22" t="n">
        <v>10.8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37245-2025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45876</v>
      </c>
      <c r="E23" s="1" t="n">
        <v>46266</v>
      </c>
      <c r="F23" t="inlineStr">
        <is>
          <t>STOCKHOLMS LÄN</t>
        </is>
      </c>
      <c r="G23" t="inlineStr">
        <is>
          <t>EKERÖ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63378-2025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46010</v>
      </c>
      <c r="E24" s="1" t="n">
        <v>46266</v>
      </c>
      <c r="F24" t="inlineStr">
        <is>
          <t>STOCKHOLMS LÄN</t>
        </is>
      </c>
      <c r="G24" t="inlineStr">
        <is>
          <t>EKERÖ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2535-2026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46037</v>
      </c>
      <c r="E25" s="1" t="n">
        <v>46266</v>
      </c>
      <c r="F25" t="inlineStr">
        <is>
          <t>STOCKHOLMS LÄN</t>
        </is>
      </c>
      <c r="G25" t="inlineStr">
        <is>
          <t>EKERÖ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55724-2024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45622</v>
      </c>
      <c r="E26" s="1" t="n">
        <v>46266</v>
      </c>
      <c r="F26" t="inlineStr">
        <is>
          <t>STOCKHOLMS LÄN</t>
        </is>
      </c>
      <c r="G26" t="inlineStr">
        <is>
          <t>EKERÖ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45148</v>
      </c>
      <c r="E27" s="1" t="n">
        <v>46266</v>
      </c>
      <c r="F27" t="inlineStr">
        <is>
          <t>STOCKHOLMS LÄN</t>
        </is>
      </c>
      <c r="G27" t="inlineStr">
        <is>
          <t>EKERÖ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61217-2024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45645</v>
      </c>
      <c r="E28" s="1" t="n">
        <v>46266</v>
      </c>
      <c r="F28" t="inlineStr">
        <is>
          <t>STOCKHOLMS LÄN</t>
        </is>
      </c>
      <c r="G28" t="inlineStr">
        <is>
          <t>EKERÖ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56002-2024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45623</v>
      </c>
      <c r="E29" s="1" t="n">
        <v>46266</v>
      </c>
      <c r="F29" t="inlineStr">
        <is>
          <t>STOCKHOLMS LÄN</t>
        </is>
      </c>
      <c r="G29" t="inlineStr">
        <is>
          <t>EKERÖ</t>
        </is>
      </c>
      <c r="I29" t="n">
        <v>3.4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60728-2022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44913</v>
      </c>
      <c r="E30" s="1" t="n">
        <v>46266</v>
      </c>
      <c r="F30" t="inlineStr">
        <is>
          <t>STOCKHOLMS LÄN</t>
        </is>
      </c>
      <c r="G30" t="inlineStr">
        <is>
          <t>EKERÖ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3222-2022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44582</v>
      </c>
      <c r="E31" s="1" t="n">
        <v>46266</v>
      </c>
      <c r="F31" t="inlineStr">
        <is>
          <t>STOCKHOLMS LÄN</t>
        </is>
      </c>
      <c r="G31" t="inlineStr">
        <is>
          <t>EKERÖ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20399-2026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46139</v>
      </c>
      <c r="E32" s="1" t="n">
        <v>46266</v>
      </c>
      <c r="F32" t="inlineStr">
        <is>
          <t>STOCKHOLMS LÄN</t>
        </is>
      </c>
      <c r="G32" t="inlineStr">
        <is>
          <t>EKERÖ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20398-2026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46266</v>
      </c>
      <c r="F33" t="inlineStr">
        <is>
          <t>STOCKHOLMS LÄN</t>
        </is>
      </c>
      <c r="G33" t="inlineStr">
        <is>
          <t>EKERÖ</t>
        </is>
      </c>
      <c r="I33" t="n">
        <v>2.4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20898-2026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46142</v>
      </c>
      <c r="E34" s="1" t="n">
        <v>46266</v>
      </c>
      <c r="F34" t="inlineStr">
        <is>
          <t>STOCKHOLMS LÄN</t>
        </is>
      </c>
      <c r="G34" t="inlineStr">
        <is>
          <t>EKERÖ</t>
        </is>
      </c>
      <c r="I34" t="n">
        <v>3.6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34073-2025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45845</v>
      </c>
      <c r="E35" s="1" t="n">
        <v>46266</v>
      </c>
      <c r="F35" t="inlineStr">
        <is>
          <t>STOCKHOLMS LÄN</t>
        </is>
      </c>
      <c r="G35" t="inlineStr">
        <is>
          <t>EKERÖ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60755-2024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45644</v>
      </c>
      <c r="E36" s="1" t="n">
        <v>46266</v>
      </c>
      <c r="F36" t="inlineStr">
        <is>
          <t>STOCKHOLMS LÄN</t>
        </is>
      </c>
      <c r="G36" t="inlineStr">
        <is>
          <t>EKERÖ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46244</v>
      </c>
      <c r="E37" s="1" t="n">
        <v>46266</v>
      </c>
      <c r="F37" t="inlineStr">
        <is>
          <t>STOCKHOLMS LÄN</t>
        </is>
      </c>
      <c r="G37" t="inlineStr">
        <is>
          <t>EKERÖ</t>
        </is>
      </c>
      <c r="H37" t="inlineStr">
        <is>
          <t>Övriga statliga verk och myndigheter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46266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2026-09-01T02:05:28Z</dcterms:created>
  <dcterms:modified xmlns:dcterms="http://purl.org/dc/terms/" xmlns:xsi="http://www.w3.org/2001/XMLSchema-instance" xsi:type="dcterms:W3CDTF">2026-09-01T02:05:28Z</dcterms:modified>
</cp:coreProperties>
</file>