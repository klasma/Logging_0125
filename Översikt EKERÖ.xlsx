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45351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45351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45351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45351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45351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31167-2019</t>
        </is>
      </c>
      <c r="B7" s="1" t="n">
        <v>43635</v>
      </c>
      <c r="C7" s="1" t="n">
        <v>45351</v>
      </c>
      <c r="D7" t="inlineStr">
        <is>
          <t>STOCKHOLMS LÄN</t>
        </is>
      </c>
      <c r="E7" t="inlineStr">
        <is>
          <t>EKERÖ</t>
        </is>
      </c>
      <c r="F7" t="inlineStr">
        <is>
          <t>Övriga statliga verk och myndigheter</t>
        </is>
      </c>
      <c r="G7" t="n">
        <v>3.7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Läderbagge</t>
        </is>
      </c>
      <c r="S7">
        <f>HYPERLINK("https://klasma.github.io/Logging_0125/artfynd/A 31167-2019 artfynd.xlsx", "A 31167-2019")</f>
        <v/>
      </c>
      <c r="T7">
        <f>HYPERLINK("https://klasma.github.io/Logging_0125/kartor/A 31167-2019 karta.png", "A 31167-2019")</f>
        <v/>
      </c>
      <c r="V7">
        <f>HYPERLINK("https://klasma.github.io/Logging_0125/klagomål/A 31167-2019 FSC-klagomål.docx", "A 31167-2019")</f>
        <v/>
      </c>
      <c r="W7">
        <f>HYPERLINK("https://klasma.github.io/Logging_0125/klagomålsmail/A 31167-2019 FSC-klagomål mail.docx", "A 31167-2019")</f>
        <v/>
      </c>
      <c r="X7">
        <f>HYPERLINK("https://klasma.github.io/Logging_0125/tillsyn/A 31167-2019 tillsynsbegäran.docx", "A 31167-2019")</f>
        <v/>
      </c>
      <c r="Y7">
        <f>HYPERLINK("https://klasma.github.io/Logging_0125/tillsynsmail/A 31167-2019 tillsynsbegäran mail.docx", "A 31167-2019")</f>
        <v/>
      </c>
    </row>
    <row r="8" ht="15" customHeight="1">
      <c r="A8" t="inlineStr">
        <is>
          <t>A 54231-2019</t>
        </is>
      </c>
      <c r="B8" s="1" t="n">
        <v>43753</v>
      </c>
      <c r="C8" s="1" t="n">
        <v>45351</v>
      </c>
      <c r="D8" t="inlineStr">
        <is>
          <t>STOCKHOLMS LÄN</t>
        </is>
      </c>
      <c r="E8" t="inlineStr">
        <is>
          <t>EKERÖ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HYPERLINK("https://klasma.github.io/Logging_0125/artfynd/A 54231-2019 artfynd.xlsx", "A 54231-2019")</f>
        <v/>
      </c>
      <c r="T8">
        <f>HYPERLINK("https://klasma.github.io/Logging_0125/kartor/A 54231-2019 karta.png", "A 54231-2019")</f>
        <v/>
      </c>
      <c r="V8">
        <f>HYPERLINK("https://klasma.github.io/Logging_0125/klagomål/A 54231-2019 FSC-klagomål.docx", "A 54231-2019")</f>
        <v/>
      </c>
      <c r="W8">
        <f>HYPERLINK("https://klasma.github.io/Logging_0125/klagomålsmail/A 54231-2019 FSC-klagomål mail.docx", "A 54231-2019")</f>
        <v/>
      </c>
      <c r="X8">
        <f>HYPERLINK("https://klasma.github.io/Logging_0125/tillsyn/A 54231-2019 tillsynsbegäran.docx", "A 54231-2019")</f>
        <v/>
      </c>
      <c r="Y8">
        <f>HYPERLINK("https://klasma.github.io/Logging_0125/tillsynsmail/A 54231-2019 tillsynsbegäran mail.docx", "A 54231-2019")</f>
        <v/>
      </c>
    </row>
    <row r="9" ht="15" customHeight="1">
      <c r="A9" t="inlineStr">
        <is>
          <t>A 7032-2020</t>
        </is>
      </c>
      <c r="B9" s="1" t="n">
        <v>43868</v>
      </c>
      <c r="C9" s="1" t="n">
        <v>45351</v>
      </c>
      <c r="D9" t="inlineStr">
        <is>
          <t>STOCKHOLMS LÄN</t>
        </is>
      </c>
      <c r="E9" t="inlineStr">
        <is>
          <t>EKERÖ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HYPERLINK("https://klasma.github.io/Logging_0125/artfynd/A 7032-2020 artfynd.xlsx", "A 7032-2020")</f>
        <v/>
      </c>
      <c r="T9">
        <f>HYPERLINK("https://klasma.github.io/Logging_0125/kartor/A 7032-2020 karta.png", "A 7032-2020")</f>
        <v/>
      </c>
      <c r="V9">
        <f>HYPERLINK("https://klasma.github.io/Logging_0125/klagomål/A 7032-2020 FSC-klagomål.docx", "A 7032-2020")</f>
        <v/>
      </c>
      <c r="W9">
        <f>HYPERLINK("https://klasma.github.io/Logging_0125/klagomålsmail/A 7032-2020 FSC-klagomål mail.docx", "A 7032-2020")</f>
        <v/>
      </c>
      <c r="X9">
        <f>HYPERLINK("https://klasma.github.io/Logging_0125/tillsyn/A 7032-2020 tillsynsbegäran.docx", "A 7032-2020")</f>
        <v/>
      </c>
      <c r="Y9">
        <f>HYPERLINK("https://klasma.github.io/Logging_0125/tillsynsmail/A 7032-2020 tillsynsbegäran mail.docx", "A 7032-2020")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45351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Gul lammticka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45351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45351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14014-2023</t>
        </is>
      </c>
      <c r="B13" s="1" t="n">
        <v>45008</v>
      </c>
      <c r="C13" s="1" t="n">
        <v>45351</v>
      </c>
      <c r="D13" t="inlineStr">
        <is>
          <t>STOCKHOLMS LÄN</t>
        </is>
      </c>
      <c r="E13" t="inlineStr">
        <is>
          <t>EKERÖ</t>
        </is>
      </c>
      <c r="G13" t="n">
        <v>4.7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HYPERLINK("https://klasma.github.io/Logging_0125/artfynd/A 14014-2023 artfynd.xlsx", "A 14014-2023")</f>
        <v/>
      </c>
      <c r="T13">
        <f>HYPERLINK("https://klasma.github.io/Logging_0125/kartor/A 14014-2023 karta.png", "A 14014-2023")</f>
        <v/>
      </c>
      <c r="V13">
        <f>HYPERLINK("https://klasma.github.io/Logging_0125/klagomål/A 14014-2023 FSC-klagomål.docx", "A 14014-2023")</f>
        <v/>
      </c>
      <c r="W13">
        <f>HYPERLINK("https://klasma.github.io/Logging_0125/klagomålsmail/A 14014-2023 FSC-klagomål mail.docx", "A 14014-2023")</f>
        <v/>
      </c>
      <c r="X13">
        <f>HYPERLINK("https://klasma.github.io/Logging_0125/tillsyn/A 14014-2023 tillsynsbegäran.docx", "A 14014-2023")</f>
        <v/>
      </c>
      <c r="Y13">
        <f>HYPERLINK("https://klasma.github.io/Logging_0125/tillsynsmail/A 14014-2023 tillsynsbegäran mail.docx", "A 14014-2023")</f>
        <v/>
      </c>
      <c r="Z13">
        <f>HYPERLINK("https://klasma.github.io/Logging_0125/fåglar/A 14014-2023 prioriterade fågelarter.docx", "A 14014-2023")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45351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72547-2018</t>
        </is>
      </c>
      <c r="B15" s="1" t="n">
        <v>43462</v>
      </c>
      <c r="C15" s="1" t="n">
        <v>45351</v>
      </c>
      <c r="D15" t="inlineStr">
        <is>
          <t>STOCKHOLMS LÄN</t>
        </is>
      </c>
      <c r="E15" t="inlineStr">
        <is>
          <t>EKERÖ</t>
        </is>
      </c>
      <c r="F15" t="inlineStr">
        <is>
          <t>Kyrkan</t>
        </is>
      </c>
      <c r="G15" t="n">
        <v>5.1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5717-2019</t>
        </is>
      </c>
      <c r="B16" s="1" t="n">
        <v>43489</v>
      </c>
      <c r="C16" s="1" t="n">
        <v>45351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17487-2019</t>
        </is>
      </c>
      <c r="B17" s="1" t="n">
        <v>43553</v>
      </c>
      <c r="C17" s="1" t="n">
        <v>45351</v>
      </c>
      <c r="D17" t="inlineStr">
        <is>
          <t>STOCKHOLMS LÄN</t>
        </is>
      </c>
      <c r="E17" t="inlineStr">
        <is>
          <t>EKERÖ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17480-2019</t>
        </is>
      </c>
      <c r="B18" s="1" t="n">
        <v>43553</v>
      </c>
      <c r="C18" s="1" t="n">
        <v>45351</v>
      </c>
      <c r="D18" t="inlineStr">
        <is>
          <t>STOCKHOLMS LÄN</t>
        </is>
      </c>
      <c r="E18" t="inlineStr">
        <is>
          <t>EKERÖ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31171-2019</t>
        </is>
      </c>
      <c r="B19" s="1" t="n">
        <v>43635</v>
      </c>
      <c r="C19" s="1" t="n">
        <v>45351</v>
      </c>
      <c r="D19" t="inlineStr">
        <is>
          <t>STOCKHOLMS LÄN</t>
        </is>
      </c>
      <c r="E19" t="inlineStr">
        <is>
          <t>EKERÖ</t>
        </is>
      </c>
      <c r="F19" t="inlineStr">
        <is>
          <t>Övriga statliga verk och myndigheter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54187-2019</t>
        </is>
      </c>
      <c r="B20" s="1" t="n">
        <v>43753</v>
      </c>
      <c r="C20" s="1" t="n">
        <v>45351</v>
      </c>
      <c r="D20" t="inlineStr">
        <is>
          <t>STOCKHOLMS LÄN</t>
        </is>
      </c>
      <c r="E20" t="inlineStr">
        <is>
          <t>EKERÖ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64656-2019</t>
        </is>
      </c>
      <c r="B21" s="1" t="n">
        <v>43798</v>
      </c>
      <c r="C21" s="1" t="n">
        <v>45351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66603-2019</t>
        </is>
      </c>
      <c r="B22" s="1" t="n">
        <v>43809</v>
      </c>
      <c r="C22" s="1" t="n">
        <v>45351</v>
      </c>
      <c r="D22" t="inlineStr">
        <is>
          <t>STOCKHOLMS LÄN</t>
        </is>
      </c>
      <c r="E22" t="inlineStr">
        <is>
          <t>EKERÖ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66599-2019</t>
        </is>
      </c>
      <c r="B23" s="1" t="n">
        <v>43809</v>
      </c>
      <c r="C23" s="1" t="n">
        <v>45351</v>
      </c>
      <c r="D23" t="inlineStr">
        <is>
          <t>STOCKHOLMS LÄN</t>
        </is>
      </c>
      <c r="E23" t="inlineStr">
        <is>
          <t>EKERÖ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292-2020</t>
        </is>
      </c>
      <c r="B24" s="1" t="n">
        <v>43837</v>
      </c>
      <c r="C24" s="1" t="n">
        <v>45351</v>
      </c>
      <c r="D24" t="inlineStr">
        <is>
          <t>STOCKHOLMS LÄN</t>
        </is>
      </c>
      <c r="E24" t="inlineStr">
        <is>
          <t>EKERÖ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4353-2020</t>
        </is>
      </c>
      <c r="B25" s="1" t="n">
        <v>43857</v>
      </c>
      <c r="C25" s="1" t="n">
        <v>45351</v>
      </c>
      <c r="D25" t="inlineStr">
        <is>
          <t>STOCKHOLMS LÄN</t>
        </is>
      </c>
      <c r="E25" t="inlineStr">
        <is>
          <t>EKERÖ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10395-2020</t>
        </is>
      </c>
      <c r="B26" s="1" t="n">
        <v>43885</v>
      </c>
      <c r="C26" s="1" t="n">
        <v>45351</v>
      </c>
      <c r="D26" t="inlineStr">
        <is>
          <t>STOCKHOLMS LÄN</t>
        </is>
      </c>
      <c r="E26" t="inlineStr">
        <is>
          <t>EKERÖ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17552-2020</t>
        </is>
      </c>
      <c r="B27" s="1" t="n">
        <v>43892</v>
      </c>
      <c r="C27" s="1" t="n">
        <v>45351</v>
      </c>
      <c r="D27" t="inlineStr">
        <is>
          <t>STOCKHOLMS LÄN</t>
        </is>
      </c>
      <c r="E27" t="inlineStr">
        <is>
          <t>EKERÖ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17546-2020</t>
        </is>
      </c>
      <c r="B28" s="1" t="n">
        <v>43892</v>
      </c>
      <c r="C28" s="1" t="n">
        <v>45351</v>
      </c>
      <c r="D28" t="inlineStr">
        <is>
          <t>STOCKHOLMS LÄN</t>
        </is>
      </c>
      <c r="E28" t="inlineStr">
        <is>
          <t>EKERÖ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15756-2020</t>
        </is>
      </c>
      <c r="B29" s="1" t="n">
        <v>43915</v>
      </c>
      <c r="C29" s="1" t="n">
        <v>45351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34185-2020</t>
        </is>
      </c>
      <c r="B30" s="1" t="n">
        <v>44029</v>
      </c>
      <c r="C30" s="1" t="n">
        <v>45351</v>
      </c>
      <c r="D30" t="inlineStr">
        <is>
          <t>STOCKHOLMS LÄN</t>
        </is>
      </c>
      <c r="E30" t="inlineStr">
        <is>
          <t>EKERÖ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35012-2020</t>
        </is>
      </c>
      <c r="B31" s="1" t="n">
        <v>44039</v>
      </c>
      <c r="C31" s="1" t="n">
        <v>45351</v>
      </c>
      <c r="D31" t="inlineStr">
        <is>
          <t>STOCKHOLMS LÄN</t>
        </is>
      </c>
      <c r="E31" t="inlineStr">
        <is>
          <t>EKERÖ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1553-2021</t>
        </is>
      </c>
      <c r="B32" s="1" t="n">
        <v>44209</v>
      </c>
      <c r="C32" s="1" t="n">
        <v>45351</v>
      </c>
      <c r="D32" t="inlineStr">
        <is>
          <t>STOCKHOLMS LÄN</t>
        </is>
      </c>
      <c r="E32" t="inlineStr">
        <is>
          <t>EKERÖ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3702-2021</t>
        </is>
      </c>
      <c r="B33" s="1" t="n">
        <v>44221</v>
      </c>
      <c r="C33" s="1" t="n">
        <v>45351</v>
      </c>
      <c r="D33" t="inlineStr">
        <is>
          <t>STOCKHOLMS LÄN</t>
        </is>
      </c>
      <c r="E33" t="inlineStr">
        <is>
          <t>EKERÖ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29533-2021</t>
        </is>
      </c>
      <c r="B34" s="1" t="n">
        <v>44361</v>
      </c>
      <c r="C34" s="1" t="n">
        <v>45351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61196-2021</t>
        </is>
      </c>
      <c r="B35" s="1" t="n">
        <v>44498</v>
      </c>
      <c r="C35" s="1" t="n">
        <v>45351</v>
      </c>
      <c r="D35" t="inlineStr">
        <is>
          <t>STOCKHOLMS LÄN</t>
        </is>
      </c>
      <c r="E35" t="inlineStr">
        <is>
          <t>EKERÖ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65129-2021</t>
        </is>
      </c>
      <c r="B36" s="1" t="n">
        <v>44515</v>
      </c>
      <c r="C36" s="1" t="n">
        <v>45351</v>
      </c>
      <c r="D36" t="inlineStr">
        <is>
          <t>STOCKHOLMS LÄN</t>
        </is>
      </c>
      <c r="E36" t="inlineStr">
        <is>
          <t>EKERÖ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45351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3221-2022</t>
        </is>
      </c>
      <c r="B38" s="1" t="n">
        <v>44582</v>
      </c>
      <c r="C38" s="1" t="n">
        <v>45351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3219-2022</t>
        </is>
      </c>
      <c r="B39" s="1" t="n">
        <v>44582</v>
      </c>
      <c r="C39" s="1" t="n">
        <v>45351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15630-2022</t>
        </is>
      </c>
      <c r="B40" s="1" t="n">
        <v>44662</v>
      </c>
      <c r="C40" s="1" t="n">
        <v>45351</v>
      </c>
      <c r="D40" t="inlineStr">
        <is>
          <t>STOCKHOLMS LÄN</t>
        </is>
      </c>
      <c r="E40" t="inlineStr">
        <is>
          <t>EKERÖ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16242-2022</t>
        </is>
      </c>
      <c r="B41" s="1" t="n">
        <v>44670</v>
      </c>
      <c r="C41" s="1" t="n">
        <v>45351</v>
      </c>
      <c r="D41" t="inlineStr">
        <is>
          <t>STOCKHOLMS LÄN</t>
        </is>
      </c>
      <c r="E41" t="inlineStr">
        <is>
          <t>EKERÖ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36063-2022</t>
        </is>
      </c>
      <c r="B42" s="1" t="n">
        <v>44802</v>
      </c>
      <c r="C42" s="1" t="n">
        <v>45351</v>
      </c>
      <c r="D42" t="inlineStr">
        <is>
          <t>STOCKHOLMS LÄN</t>
        </is>
      </c>
      <c r="E42" t="inlineStr">
        <is>
          <t>EKERÖ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52884-2022</t>
        </is>
      </c>
      <c r="B43" s="1" t="n">
        <v>44872</v>
      </c>
      <c r="C43" s="1" t="n">
        <v>45351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60729-2022</t>
        </is>
      </c>
      <c r="B44" s="1" t="n">
        <v>44913</v>
      </c>
      <c r="C44" s="1" t="n">
        <v>45351</v>
      </c>
      <c r="D44" t="inlineStr">
        <is>
          <t>STOCKHOLMS LÄN</t>
        </is>
      </c>
      <c r="E44" t="inlineStr">
        <is>
          <t>EKERÖ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60728-2022</t>
        </is>
      </c>
      <c r="B45" s="1" t="n">
        <v>44913</v>
      </c>
      <c r="C45" s="1" t="n">
        <v>45351</v>
      </c>
      <c r="D45" t="inlineStr">
        <is>
          <t>STOCKHOLMS LÄN</t>
        </is>
      </c>
      <c r="E45" t="inlineStr">
        <is>
          <t>EKERÖ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4904-2023</t>
        </is>
      </c>
      <c r="B46" s="1" t="n">
        <v>44956</v>
      </c>
      <c r="C46" s="1" t="n">
        <v>45351</v>
      </c>
      <c r="D46" t="inlineStr">
        <is>
          <t>STOCKHOLMS LÄN</t>
        </is>
      </c>
      <c r="E46" t="inlineStr">
        <is>
          <t>EKERÖ</t>
        </is>
      </c>
      <c r="F46" t="inlineStr">
        <is>
          <t>Övriga statliga verk och myndigheter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14015-2023</t>
        </is>
      </c>
      <c r="B47" s="1" t="n">
        <v>45008</v>
      </c>
      <c r="C47" s="1" t="n">
        <v>45351</v>
      </c>
      <c r="D47" t="inlineStr">
        <is>
          <t>STOCKHOLMS LÄN</t>
        </is>
      </c>
      <c r="E47" t="inlineStr">
        <is>
          <t>EKERÖ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18723-2023</t>
        </is>
      </c>
      <c r="B48" s="1" t="n">
        <v>45043</v>
      </c>
      <c r="C48" s="1" t="n">
        <v>45351</v>
      </c>
      <c r="D48" t="inlineStr">
        <is>
          <t>STOCKHOLMS LÄN</t>
        </is>
      </c>
      <c r="E48" t="inlineStr">
        <is>
          <t>EKERÖ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35955-2023</t>
        </is>
      </c>
      <c r="B49" s="1" t="n">
        <v>45148</v>
      </c>
      <c r="C49" s="1" t="n">
        <v>45351</v>
      </c>
      <c r="D49" t="inlineStr">
        <is>
          <t>STOCKHOLMS LÄN</t>
        </is>
      </c>
      <c r="E49" t="inlineStr">
        <is>
          <t>EKERÖ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50184-2023</t>
        </is>
      </c>
      <c r="B50" s="1" t="n">
        <v>45208</v>
      </c>
      <c r="C50" s="1" t="n">
        <v>45351</v>
      </c>
      <c r="D50" t="inlineStr">
        <is>
          <t>STOCKHOLMS LÄN</t>
        </is>
      </c>
      <c r="E50" t="inlineStr">
        <is>
          <t>EKERÖ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48839-2023</t>
        </is>
      </c>
      <c r="B51" s="1" t="n">
        <v>45209</v>
      </c>
      <c r="C51" s="1" t="n">
        <v>45351</v>
      </c>
      <c r="D51" t="inlineStr">
        <is>
          <t>STOCKHOLMS LÄN</t>
        </is>
      </c>
      <c r="E51" t="inlineStr">
        <is>
          <t>EKERÖ</t>
        </is>
      </c>
      <c r="F51" t="inlineStr">
        <is>
          <t>Kyrkan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2024-02-29T12:58:21Z</dcterms:created>
  <dcterms:modified xmlns:dcterms="http://purl.org/dc/terms/" xmlns:xsi="http://www.w3.org/2001/XMLSchema-instance" xsi:type="dcterms:W3CDTF">2024-02-29T12:58:21Z</dcterms:modified>
</cp:coreProperties>
</file>