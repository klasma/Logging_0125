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46148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46148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3218-2022</t>
        </is>
      </c>
      <c r="B9" s="1" t="n">
        <v>44582</v>
      </c>
      <c r="C9" s="1" t="n">
        <v>46148</v>
      </c>
      <c r="D9" t="inlineStr">
        <is>
          <t>STOCKHOLMS LÄN</t>
        </is>
      </c>
      <c r="E9" t="inlineStr">
        <is>
          <t>EKERÖ</t>
        </is>
      </c>
      <c r="G9" t="n">
        <v>1.2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Gul lammticka
Kamjordstjärna</t>
        </is>
      </c>
      <c r="S9">
        <f>HYPERLINK("https://klasma.github.io/Logging_0125/artfynd/A 3218-2022 artfynd.xlsx", "A 3218-2022")</f>
        <v/>
      </c>
      <c r="T9">
        <f>HYPERLINK("https://klasma.github.io/Logging_0125/kartor/A 3218-2022 karta.png", "A 3218-2022")</f>
        <v/>
      </c>
      <c r="V9">
        <f>HYPERLINK("https://klasma.github.io/Logging_0125/klagomål/A 3218-2022 FSC-klagomål.docx", "A 3218-2022")</f>
        <v/>
      </c>
      <c r="W9">
        <f>HYPERLINK("https://klasma.github.io/Logging_0125/klagomålsmail/A 3218-2022 FSC-klagomål mail.docx", "A 3218-2022")</f>
        <v/>
      </c>
      <c r="X9">
        <f>HYPERLINK("https://klasma.github.io/Logging_0125/tillsyn/A 3218-2022 tillsynsbegäran.docx", "A 3218-2022")</f>
        <v/>
      </c>
      <c r="Y9">
        <f>HYPERLINK("https://klasma.github.io/Logging_0125/tillsynsmail/A 3218-2022 tillsynsbegäran mail.docx", "A 3218-2022")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46148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26588-2025</t>
        </is>
      </c>
      <c r="B11" s="1" t="n">
        <v>45807.76052083333</v>
      </c>
      <c r="C11" s="1" t="n">
        <v>46148</v>
      </c>
      <c r="D11" t="inlineStr">
        <is>
          <t>STOCKHOLMS LÄN</t>
        </is>
      </c>
      <c r="E11" t="inlineStr">
        <is>
          <t>EKERÖ</t>
        </is>
      </c>
      <c r="G11" t="n">
        <v>6.1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Nattviol</t>
        </is>
      </c>
      <c r="S11">
        <f>HYPERLINK("https://klasma.github.io/Logging_0125/artfynd/A 26588-2025 artfynd.xlsx", "A 26588-2025")</f>
        <v/>
      </c>
      <c r="T11">
        <f>HYPERLINK("https://klasma.github.io/Logging_0125/kartor/A 26588-2025 karta.png", "A 26588-2025")</f>
        <v/>
      </c>
      <c r="V11">
        <f>HYPERLINK("https://klasma.github.io/Logging_0125/klagomål/A 26588-2025 FSC-klagomål.docx", "A 26588-2025")</f>
        <v/>
      </c>
      <c r="W11">
        <f>HYPERLINK("https://klasma.github.io/Logging_0125/klagomålsmail/A 26588-2025 FSC-klagomål mail.docx", "A 26588-2025")</f>
        <v/>
      </c>
      <c r="X11">
        <f>HYPERLINK("https://klasma.github.io/Logging_0125/tillsyn/A 26588-2025 tillsynsbegäran.docx", "A 26588-2025")</f>
        <v/>
      </c>
      <c r="Y11">
        <f>HYPERLINK("https://klasma.github.io/Logging_0125/tillsynsmail/A 26588-2025 tillsynsbegäran mail.docx", "A 26588-2025")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17520-2026</t>
        </is>
      </c>
      <c r="B13" s="1" t="n">
        <v>46119</v>
      </c>
      <c r="C13" s="1" t="n">
        <v>46148</v>
      </c>
      <c r="D13" t="inlineStr">
        <is>
          <t>STOCKHOLMS LÄN</t>
        </is>
      </c>
      <c r="E13" t="inlineStr">
        <is>
          <t>EKERÖ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Gulgrön kantmusseron</t>
        </is>
      </c>
      <c r="S13">
        <f>HYPERLINK("https://klasma.github.io/Logging_0125/artfynd/A 17520-2026 artfynd.xlsx", "A 17520-2026")</f>
        <v/>
      </c>
      <c r="T13">
        <f>HYPERLINK("https://klasma.github.io/Logging_0125/kartor/A 17520-2026 karta.png", "A 17520-2026")</f>
        <v/>
      </c>
      <c r="V13">
        <f>HYPERLINK("https://klasma.github.io/Logging_0125/klagomål/A 17520-2026 FSC-klagomål.docx", "A 17520-2026")</f>
        <v/>
      </c>
      <c r="W13">
        <f>HYPERLINK("https://klasma.github.io/Logging_0125/klagomålsmail/A 17520-2026 FSC-klagomål mail.docx", "A 17520-2026")</f>
        <v/>
      </c>
      <c r="X13">
        <f>HYPERLINK("https://klasma.github.io/Logging_0125/tillsyn/A 17520-2026 tillsynsbegäran.docx", "A 17520-2026")</f>
        <v/>
      </c>
      <c r="Y13">
        <f>HYPERLINK("https://klasma.github.io/Logging_0125/tillsynsmail/A 17520-2026 tillsynsbegäran mail.docx", "A 17520-2026")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46148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46148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46148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46148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46148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46148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46148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46148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31607-2025</t>
        </is>
      </c>
      <c r="B22" s="1" t="n">
        <v>45833</v>
      </c>
      <c r="C22" s="1" t="n">
        <v>46148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</v>
      </c>
      <c r="C23" s="1" t="n">
        <v>46148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35047-2025</t>
        </is>
      </c>
      <c r="B24" s="1" t="n">
        <v>45852.35094907408</v>
      </c>
      <c r="C24" s="1" t="n">
        <v>46148</v>
      </c>
      <c r="D24" t="inlineStr">
        <is>
          <t>STOCKHOLMS LÄN</t>
        </is>
      </c>
      <c r="E24" t="inlineStr">
        <is>
          <t>EKERÖ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37245-2025</t>
        </is>
      </c>
      <c r="B25" s="1" t="n">
        <v>45876.39396990741</v>
      </c>
      <c r="C25" s="1" t="n">
        <v>46148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20398-2026</t>
        </is>
      </c>
      <c r="B26" s="1" t="n">
        <v>46139</v>
      </c>
      <c r="C26" s="1" t="n">
        <v>46148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20399-2026</t>
        </is>
      </c>
      <c r="B27" s="1" t="n">
        <v>46139</v>
      </c>
      <c r="C27" s="1" t="n">
        <v>46148</v>
      </c>
      <c r="D27" t="inlineStr">
        <is>
          <t>STOCKHOLMS LÄN</t>
        </is>
      </c>
      <c r="E27" t="inlineStr">
        <is>
          <t>EKERÖ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20898-2026</t>
        </is>
      </c>
      <c r="B28" s="1" t="n">
        <v>46142.45217592592</v>
      </c>
      <c r="C28" s="1" t="n">
        <v>46148</v>
      </c>
      <c r="D28" t="inlineStr">
        <is>
          <t>STOCKHOLMS LÄN</t>
        </is>
      </c>
      <c r="E28" t="inlineStr">
        <is>
          <t>EKERÖ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46148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61217-2024</t>
        </is>
      </c>
      <c r="B30" s="1" t="n">
        <v>45645.65825231482</v>
      </c>
      <c r="C30" s="1" t="n">
        <v>46148</v>
      </c>
      <c r="D30" t="inlineStr">
        <is>
          <t>STOCKHOLMS LÄN</t>
        </is>
      </c>
      <c r="E30" t="inlineStr">
        <is>
          <t>EKERÖ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3222-2022</t>
        </is>
      </c>
      <c r="B31" s="1" t="n">
        <v>44582</v>
      </c>
      <c r="C31" s="1" t="n">
        <v>46148</v>
      </c>
      <c r="D31" t="inlineStr">
        <is>
          <t>STOCKHOLMS LÄN</t>
        </is>
      </c>
      <c r="E31" t="inlineStr">
        <is>
          <t>EKERÖ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63378-2025</t>
        </is>
      </c>
      <c r="B32" s="1" t="n">
        <v>46010.72528935185</v>
      </c>
      <c r="C32" s="1" t="n">
        <v>46148</v>
      </c>
      <c r="D32" t="inlineStr">
        <is>
          <t>STOCKHOLMS LÄN</t>
        </is>
      </c>
      <c r="E32" t="inlineStr">
        <is>
          <t>EKERÖ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46148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2535-2026</t>
        </is>
      </c>
      <c r="B34" s="1" t="n">
        <v>46037.4490625</v>
      </c>
      <c r="C34" s="1" t="n">
        <v>46148</v>
      </c>
      <c r="D34" t="inlineStr">
        <is>
          <t>STOCKHOLMS LÄN</t>
        </is>
      </c>
      <c r="E34" t="inlineStr">
        <is>
          <t>EKERÖ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3219-2022</t>
        </is>
      </c>
      <c r="B35" s="1" t="n">
        <v>44582</v>
      </c>
      <c r="C35" s="1" t="n">
        <v>46148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44582.80788194444</v>
      </c>
      <c r="C36" s="1" t="n">
        <v>46148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46148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19935-2025</t>
        </is>
      </c>
      <c r="B38" s="1" t="n">
        <v>45771</v>
      </c>
      <c r="C38" s="1" t="n">
        <v>46148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55724-2024</t>
        </is>
      </c>
      <c r="B39" s="1" t="n">
        <v>45622.81020833334</v>
      </c>
      <c r="C39" s="1" t="n">
        <v>46148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35955-2023</t>
        </is>
      </c>
      <c r="B40" s="1" t="n">
        <v>45148</v>
      </c>
      <c r="C40" s="1" t="n">
        <v>46148</v>
      </c>
      <c r="D40" t="inlineStr">
        <is>
          <t>STOCKHOLMS LÄN</t>
        </is>
      </c>
      <c r="E40" t="inlineStr">
        <is>
          <t>EKERÖ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60728-2022</t>
        </is>
      </c>
      <c r="B41" s="1" t="n">
        <v>44913</v>
      </c>
      <c r="C41" s="1" t="n">
        <v>46148</v>
      </c>
      <c r="D41" t="inlineStr">
        <is>
          <t>STOCKHOLMS LÄN</t>
        </is>
      </c>
      <c r="E41" t="inlineStr">
        <is>
          <t>EKERÖ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48839-2023</t>
        </is>
      </c>
      <c r="B42" s="1" t="n">
        <v>45209</v>
      </c>
      <c r="C42" s="1" t="n">
        <v>46148</v>
      </c>
      <c r="D42" t="inlineStr">
        <is>
          <t>STOCKHOLMS LÄN</t>
        </is>
      </c>
      <c r="E42" t="inlineStr">
        <is>
          <t>EKERÖ</t>
        </is>
      </c>
      <c r="F42" t="inlineStr">
        <is>
          <t>Kyrkan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26600-2025</t>
        </is>
      </c>
      <c r="B43" s="1" t="n">
        <v>45808.54792824074</v>
      </c>
      <c r="C43" s="1" t="n">
        <v>46148</v>
      </c>
      <c r="D43" t="inlineStr">
        <is>
          <t>STOCKHOLMS LÄN</t>
        </is>
      </c>
      <c r="E43" t="inlineStr">
        <is>
          <t>EKERÖ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2026-05-06T11:00:43Z</dcterms:created>
  <dcterms:modified xmlns:dcterms="http://purl.org/dc/terms/" xmlns:xsi="http://www.w3.org/2001/XMLSchema-instance" xsi:type="dcterms:W3CDTF">2026-05-06T11:00:43Z</dcterms:modified>
</cp:coreProperties>
</file>