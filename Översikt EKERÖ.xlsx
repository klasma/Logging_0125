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46269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46269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46269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t="n">
        <v>9</v>
      </c>
      <c r="V4" s="2" t="inlineStr">
        <is>
          <t>Bombmurkla
Gul lammticka
Fyrflikig jordstjärna
Kamjordstjärna
Blåbär
Vanlig groda</t>
        </is>
      </c>
      <c r="W4">
        <f>HYPERLINK("https://klasma.github.io/Logging_0125/artfynd/A 35953-2023 artfynd.xlsx", "A 35953-2023")</f>
        <v/>
      </c>
      <c r="X4">
        <f>HYPERLINK("https://klasma.github.io/Logging_0125/kartor/A 35953-2023 karta.png", "A 35953-2023")</f>
        <v/>
      </c>
      <c r="Y4">
        <f>HYPERLINK("https://klasma.github.io/Logging_0125/kartor_geotiff/A 35953-2023 georefererad karta.tif", "A 35953-2023")</f>
        <v/>
      </c>
      <c r="AA4">
        <f>HYPERLINK("https://klasma.github.io/Logging_0125/klagomål/A 35953-2023 FSC-klagomål.docx", "A 35953-2023")</f>
        <v/>
      </c>
      <c r="AB4">
        <f>HYPERLINK("https://klasma.github.io/Logging_0125/klagomålsmail/A 35953-2023 FSC-klagomål mail.docx", "A 35953-2023")</f>
        <v/>
      </c>
      <c r="AC4">
        <f>HYPERLINK("https://klasma.github.io/Logging_0125/tillsyn/A 35953-2023 tillsynsbegäran.docx", "A 35953-2023")</f>
        <v/>
      </c>
      <c r="AD4">
        <f>HYPERLINK("https://klasma.github.io/Logging_0125/tillsynsmail/A 35953-2023 tillsynsbegäran mail.docx", "A 35953-2023")</f>
        <v/>
      </c>
    </row>
    <row r="5" ht="15" customHeight="1">
      <c r="A5" t="inlineStr">
        <is>
          <t>A 8216-2023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44974</v>
      </c>
      <c r="E5" s="1" t="n">
        <v>46269</v>
      </c>
      <c r="F5" t="inlineStr">
        <is>
          <t>STOCKHOLMS LÄN</t>
        </is>
      </c>
      <c r="G5" t="inlineStr">
        <is>
          <t>EKERÖ</t>
        </is>
      </c>
      <c r="H5" t="inlineStr">
        <is>
          <t>Kommuner</t>
        </is>
      </c>
      <c r="I5" t="n">
        <v>5</v>
      </c>
      <c r="J5" t="n">
        <v>2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9</v>
      </c>
      <c r="U5" t="n">
        <v>0</v>
      </c>
      <c r="V5" s="2" t="inlineStr">
        <is>
          <t>Gul lammticka
Blomkålssvamp
Granbarkgnagare
Thomsons trägnagare
Blåsippa
Kungsfågel</t>
        </is>
      </c>
      <c r="W5">
        <f>HYPERLINK("https://klasma.github.io/Logging_0125/artfynd/A 8216-2023 artfynd.xlsx", "A 8216-2023")</f>
        <v/>
      </c>
      <c r="X5">
        <f>HYPERLINK("https://klasma.github.io/Logging_0125/kartor/A 8216-2023 karta.png", "A 8216-2023")</f>
        <v/>
      </c>
      <c r="Y5">
        <f>HYPERLINK("https://klasma.github.io/Logging_0125/kartor_geotiff/A 8216-2023 georefererad karta.tif", "A 8216-2023")</f>
        <v/>
      </c>
      <c r="AA5">
        <f>HYPERLINK("https://klasma.github.io/Logging_0125/klagomål/A 8216-2023 FSC-klagomål.docx", "A 8216-2023")</f>
        <v/>
      </c>
      <c r="AB5">
        <f>HYPERLINK("https://klasma.github.io/Logging_0125/klagomålsmail/A 8216-2023 FSC-klagomål mail.docx", "A 8216-2023")</f>
        <v/>
      </c>
      <c r="AC5">
        <f>HYPERLINK("https://klasma.github.io/Logging_0125/tillsyn/A 8216-2023 tillsynsbegäran.docx", "A 8216-2023")</f>
        <v/>
      </c>
      <c r="AD5">
        <f>HYPERLINK("https://klasma.github.io/Logging_0125/tillsynsmail/A 8216-2023 tillsynsbegäran mail.docx", "A 8216-2023")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46269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46269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46269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46269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46269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46269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46269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46269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46269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1793-2025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46269</v>
      </c>
      <c r="F15" t="inlineStr">
        <is>
          <t>STOCKHOLMS LÄN</t>
        </is>
      </c>
      <c r="G15" t="inlineStr">
        <is>
          <t>EKERÖ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17</v>
      </c>
      <c r="U15" t="n">
        <v>0</v>
      </c>
      <c r="V15" s="2" t="inlineStr">
        <is>
          <t>Mistel</t>
        </is>
      </c>
      <c r="W15">
        <f>HYPERLINK("https://klasma.github.io/Logging_0125/artfynd/A 1793-2025 artfynd.xlsx", "A 1793-2025")</f>
        <v/>
      </c>
      <c r="X15">
        <f>HYPERLINK("https://klasma.github.io/Logging_0125/kartor/A 1793-2025 karta.png", "A 1793-2025")</f>
        <v/>
      </c>
      <c r="Y15">
        <f>HYPERLINK("https://klasma.github.io/Logging_0125/kartor_geotiff/A 1793-2025 georefererad karta.tif", "A 1793-2025")</f>
        <v/>
      </c>
      <c r="AA15">
        <f>HYPERLINK("https://klasma.github.io/Logging_0125/klagomål/A 1793-2025 FSC-klagomål.docx", "A 1793-2025")</f>
        <v/>
      </c>
      <c r="AB15">
        <f>HYPERLINK("https://klasma.github.io/Logging_0125/klagomålsmail/A 1793-2025 FSC-klagomål mail.docx", "A 1793-2025")</f>
        <v/>
      </c>
      <c r="AC15">
        <f>HYPERLINK("https://klasma.github.io/Logging_0125/tillsyn/A 1793-2025 tillsynsbegäran.docx", "A 1793-2025")</f>
        <v/>
      </c>
      <c r="AD15">
        <f>HYPERLINK("https://klasma.github.io/Logging_0125/tillsynsmail/A 1793-2025 tillsynsbegäran mail.docx", "A 1793-2025")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46269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46269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46269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46269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46269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56002-2024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45623</v>
      </c>
      <c r="E21" s="1" t="n">
        <v>46269</v>
      </c>
      <c r="F21" t="inlineStr">
        <is>
          <t>STOCKHOLMS LÄN</t>
        </is>
      </c>
      <c r="G21" t="inlineStr">
        <is>
          <t>EKERÖ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61217-2024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45645</v>
      </c>
      <c r="E22" s="1" t="n">
        <v>46269</v>
      </c>
      <c r="F22" t="inlineStr">
        <is>
          <t>STOCKHOLMS LÄN</t>
        </is>
      </c>
      <c r="G22" t="inlineStr">
        <is>
          <t>EKERÖ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46269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46269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46269</v>
      </c>
      <c r="F25" t="inlineStr">
        <is>
          <t>STOCKHOLMS LÄN</t>
        </is>
      </c>
      <c r="G25" t="inlineStr">
        <is>
          <t>EKERÖ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37245-2025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46269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46269</v>
      </c>
      <c r="F27" t="inlineStr">
        <is>
          <t>STOCKHOLMS LÄN</t>
        </is>
      </c>
      <c r="G27" t="inlineStr">
        <is>
          <t>EKERÖ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60755-2024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45644</v>
      </c>
      <c r="E28" s="1" t="n">
        <v>46269</v>
      </c>
      <c r="F28" t="inlineStr">
        <is>
          <t>STOCKHOLMS LÄN</t>
        </is>
      </c>
      <c r="G28" t="inlineStr">
        <is>
          <t>EKERÖ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46269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20398-2026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46269</v>
      </c>
      <c r="F30" t="inlineStr">
        <is>
          <t>STOCKHOLMS LÄN</t>
        </is>
      </c>
      <c r="G30" t="inlineStr">
        <is>
          <t>EKERÖ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45622</v>
      </c>
      <c r="E31" s="1" t="n">
        <v>46269</v>
      </c>
      <c r="F31" t="inlineStr">
        <is>
          <t>STOCKHOLMS LÄN</t>
        </is>
      </c>
      <c r="G31" t="inlineStr">
        <is>
          <t>EKERÖ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46269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46269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63378-2025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46010</v>
      </c>
      <c r="E34" s="1" t="n">
        <v>46269</v>
      </c>
      <c r="F34" t="inlineStr">
        <is>
          <t>STOCKHOLMS LÄN</t>
        </is>
      </c>
      <c r="G34" t="inlineStr">
        <is>
          <t>EKERÖ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44913</v>
      </c>
      <c r="E35" s="1" t="n">
        <v>46269</v>
      </c>
      <c r="F35" t="inlineStr">
        <is>
          <t>STOCKHOLMS LÄN</t>
        </is>
      </c>
      <c r="G35" t="inlineStr">
        <is>
          <t>EKERÖ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46037</v>
      </c>
      <c r="E36" s="1" t="n">
        <v>46269</v>
      </c>
      <c r="F36" t="inlineStr">
        <is>
          <t>STOCKHOLMS LÄN</t>
        </is>
      </c>
      <c r="G36" t="inlineStr">
        <is>
          <t>EKERÖ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46269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46269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2026-09-04T02:07:27Z</dcterms:created>
  <dcterms:modified xmlns:dcterms="http://purl.org/dc/terms/" xmlns:xsi="http://www.w3.org/2001/XMLSchema-instance" xsi:type="dcterms:W3CDTF">2026-09-04T02:07:27Z</dcterms:modified>
</cp:coreProperties>
</file>