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45759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45759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45759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45759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45759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45759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45759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31167-2019</t>
        </is>
      </c>
      <c r="B9" s="1" t="n">
        <v>43635</v>
      </c>
      <c r="C9" s="1" t="n">
        <v>45759</v>
      </c>
      <c r="D9" t="inlineStr">
        <is>
          <t>STOCKHOLMS LÄN</t>
        </is>
      </c>
      <c r="E9" t="inlineStr">
        <is>
          <t>EKERÖ</t>
        </is>
      </c>
      <c r="F9" t="inlineStr">
        <is>
          <t>Övriga statliga verk och myndigheter</t>
        </is>
      </c>
      <c r="G9" t="n">
        <v>3.7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Läderbagge</t>
        </is>
      </c>
      <c r="S9">
        <f>HYPERLINK("https://klasma.github.io/Logging_0125/artfynd/A 31167-2019 artfynd.xlsx", "A 31167-2019")</f>
        <v/>
      </c>
      <c r="T9">
        <f>HYPERLINK("https://klasma.github.io/Logging_0125/kartor/A 31167-2019 karta.png", "A 31167-2019")</f>
        <v/>
      </c>
      <c r="V9">
        <f>HYPERLINK("https://klasma.github.io/Logging_0125/klagomål/A 31167-2019 FSC-klagomål.docx", "A 31167-2019")</f>
        <v/>
      </c>
      <c r="W9">
        <f>HYPERLINK("https://klasma.github.io/Logging_0125/klagomålsmail/A 31167-2019 FSC-klagomål mail.docx", "A 31167-2019")</f>
        <v/>
      </c>
      <c r="X9">
        <f>HYPERLINK("https://klasma.github.io/Logging_0125/tillsyn/A 31167-2019 tillsynsbegäran.docx", "A 31167-2019")</f>
        <v/>
      </c>
      <c r="Y9">
        <f>HYPERLINK("https://klasma.github.io/Logging_0125/tillsynsmail/A 31167-2019 tillsynsbegäran mail.docx", "A 31167-2019")</f>
        <v/>
      </c>
    </row>
    <row r="10" ht="15" customHeight="1">
      <c r="A10" t="inlineStr">
        <is>
          <t>A 54231-2019</t>
        </is>
      </c>
      <c r="B10" s="1" t="n">
        <v>43753</v>
      </c>
      <c r="C10" s="1" t="n">
        <v>45759</v>
      </c>
      <c r="D10" t="inlineStr">
        <is>
          <t>STOCKHOLMS LÄN</t>
        </is>
      </c>
      <c r="E10" t="inlineStr">
        <is>
          <t>EKERÖ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HYPERLINK("https://klasma.github.io/Logging_0125/artfynd/A 54231-2019 artfynd.xlsx", "A 54231-2019")</f>
        <v/>
      </c>
      <c r="T10">
        <f>HYPERLINK("https://klasma.github.io/Logging_0125/kartor/A 54231-2019 karta.png", "A 54231-2019")</f>
        <v/>
      </c>
      <c r="V10">
        <f>HYPERLINK("https://klasma.github.io/Logging_0125/klagomål/A 54231-2019 FSC-klagomål.docx", "A 54231-2019")</f>
        <v/>
      </c>
      <c r="W10">
        <f>HYPERLINK("https://klasma.github.io/Logging_0125/klagomålsmail/A 54231-2019 FSC-klagomål mail.docx", "A 54231-2019")</f>
        <v/>
      </c>
      <c r="X10">
        <f>HYPERLINK("https://klasma.github.io/Logging_0125/tillsyn/A 54231-2019 tillsynsbegäran.docx", "A 54231-2019")</f>
        <v/>
      </c>
      <c r="Y10">
        <f>HYPERLINK("https://klasma.github.io/Logging_0125/tillsynsmail/A 54231-2019 tillsynsbegäran mail.docx", "A 54231-2019")</f>
        <v/>
      </c>
    </row>
    <row r="11" ht="15" customHeight="1">
      <c r="A11" t="inlineStr">
        <is>
          <t>A 7032-2020</t>
        </is>
      </c>
      <c r="B11" s="1" t="n">
        <v>43868</v>
      </c>
      <c r="C11" s="1" t="n">
        <v>45759</v>
      </c>
      <c r="D11" t="inlineStr">
        <is>
          <t>STOCKHOLMS LÄN</t>
        </is>
      </c>
      <c r="E11" t="inlineStr">
        <is>
          <t>EKERÖ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HYPERLINK("https://klasma.github.io/Logging_0125/artfynd/A 7032-2020 artfynd.xlsx", "A 7032-2020")</f>
        <v/>
      </c>
      <c r="T11">
        <f>HYPERLINK("https://klasma.github.io/Logging_0125/kartor/A 7032-2020 karta.png", "A 7032-2020")</f>
        <v/>
      </c>
      <c r="V11">
        <f>HYPERLINK("https://klasma.github.io/Logging_0125/klagomål/A 7032-2020 FSC-klagomål.docx", "A 7032-2020")</f>
        <v/>
      </c>
      <c r="W11">
        <f>HYPERLINK("https://klasma.github.io/Logging_0125/klagomålsmail/A 7032-2020 FSC-klagomål mail.docx", "A 7032-2020")</f>
        <v/>
      </c>
      <c r="X11">
        <f>HYPERLINK("https://klasma.github.io/Logging_0125/tillsyn/A 7032-2020 tillsynsbegäran.docx", "A 7032-2020")</f>
        <v/>
      </c>
      <c r="Y11">
        <f>HYPERLINK("https://klasma.github.io/Logging_0125/tillsynsmail/A 7032-2020 tillsynsbegäran mail.docx", "A 7032-2020")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45759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45759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45759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45759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45759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45759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45759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45759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45759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45759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45759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45759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45759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45759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45759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45759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45759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45759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45759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45759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45759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45759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45759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45759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45759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45759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45759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45759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45759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45759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45759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45759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45759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45759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45759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45759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45759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45759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45759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45759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45759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45759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45759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45759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45759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45759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45759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45759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45759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45759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45759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45759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45759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45759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3878-2025</t>
        </is>
      </c>
      <c r="B66" s="1" t="n">
        <v>45684</v>
      </c>
      <c r="C66" s="1" t="n">
        <v>45759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12690-2025</t>
        </is>
      </c>
      <c r="B67" s="1" t="n">
        <v>45733</v>
      </c>
      <c r="C67" s="1" t="n">
        <v>45759</v>
      </c>
      <c r="D67" t="inlineStr">
        <is>
          <t>STOCKHOLMS LÄN</t>
        </is>
      </c>
      <c r="E67" t="inlineStr">
        <is>
          <t>EKERÖ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2025-04-12T16:22:49Z</dcterms:created>
  <dcterms:modified xmlns:dcterms="http://purl.org/dc/terms/" xmlns:xsi="http://www.w3.org/2001/XMLSchema-instance" xsi:type="dcterms:W3CDTF">2025-04-12T16:22:49Z</dcterms:modified>
</cp:coreProperties>
</file>