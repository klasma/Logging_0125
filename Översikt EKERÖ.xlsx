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46137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46137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46137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46137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46137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46137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Ängsvaxing agg.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46137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26588-2025</t>
        </is>
      </c>
      <c r="B9" s="1" t="n">
        <v>45807.76052083333</v>
      </c>
      <c r="C9" s="1" t="n">
        <v>46137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HYPERLINK("https://klasma.github.io/Logging_0125/artfynd/A 26588-2025 artfynd.xlsx", "A 26588-2025")</f>
        <v/>
      </c>
      <c r="T9">
        <f>HYPERLINK("https://klasma.github.io/Logging_0125/kartor/A 26588-2025 karta.png", "A 26588-2025")</f>
        <v/>
      </c>
      <c r="V9">
        <f>HYPERLINK("https://klasma.github.io/Logging_0125/klagomål/A 26588-2025 FSC-klagomål.docx", "A 26588-2025")</f>
        <v/>
      </c>
      <c r="W9">
        <f>HYPERLINK("https://klasma.github.io/Logging_0125/klagomålsmail/A 26588-2025 FSC-klagomål mail.docx", "A 26588-2025")</f>
        <v/>
      </c>
      <c r="X9">
        <f>HYPERLINK("https://klasma.github.io/Logging_0125/tillsyn/A 26588-2025 tillsynsbegäran.docx", "A 26588-2025")</f>
        <v/>
      </c>
      <c r="Y9">
        <f>HYPERLINK("https://klasma.github.io/Logging_0125/tillsynsmail/A 26588-2025 tillsynsbegäran mail.docx", "A 26588-2025")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46137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46137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Gul lammticka
Kamjordstjärna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46137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46137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46137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46137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46137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17520-2026</t>
        </is>
      </c>
      <c r="B17" s="1" t="n">
        <v>46119</v>
      </c>
      <c r="C17" s="1" t="n">
        <v>46137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Gulgrön kantmusseron</t>
        </is>
      </c>
      <c r="S17">
        <f>HYPERLINK("https://klasma.github.io/Logging_0125/artfynd/A 17520-2026 artfynd.xlsx", "A 17520-2026")</f>
        <v/>
      </c>
      <c r="T17">
        <f>HYPERLINK("https://klasma.github.io/Logging_0125/kartor/A 17520-2026 karta.png", "A 17520-2026")</f>
        <v/>
      </c>
      <c r="V17">
        <f>HYPERLINK("https://klasma.github.io/Logging_0125/klagomål/A 17520-2026 FSC-klagomål.docx", "A 17520-2026")</f>
        <v/>
      </c>
      <c r="W17">
        <f>HYPERLINK("https://klasma.github.io/Logging_0125/klagomålsmail/A 17520-2026 FSC-klagomål mail.docx", "A 17520-2026")</f>
        <v/>
      </c>
      <c r="X17">
        <f>HYPERLINK("https://klasma.github.io/Logging_0125/tillsyn/A 17520-2026 tillsynsbegäran.docx", "A 17520-2026")</f>
        <v/>
      </c>
      <c r="Y17">
        <f>HYPERLINK("https://klasma.github.io/Logging_0125/tillsynsmail/A 17520-2026 tillsynsbegäran mail.docx", "A 17520-2026")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46137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46137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46137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46137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46137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46137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48839-2023</t>
        </is>
      </c>
      <c r="B24" s="1" t="n">
        <v>45209</v>
      </c>
      <c r="C24" s="1" t="n">
        <v>46137</v>
      </c>
      <c r="D24" t="inlineStr">
        <is>
          <t>STOCKHOLMS LÄN</t>
        </is>
      </c>
      <c r="E24" t="inlineStr">
        <is>
          <t>EKERÖ</t>
        </is>
      </c>
      <c r="F24" t="inlineStr">
        <is>
          <t>Kyrkan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60755-2024</t>
        </is>
      </c>
      <c r="B25" s="1" t="n">
        <v>45644.56945601852</v>
      </c>
      <c r="C25" s="1" t="n">
        <v>46137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45808.54792824074</v>
      </c>
      <c r="C26" s="1" t="n">
        <v>46137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46137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34073-2025</t>
        </is>
      </c>
      <c r="B28" s="1" t="n">
        <v>45845</v>
      </c>
      <c r="C28" s="1" t="n">
        <v>46137</v>
      </c>
      <c r="D28" t="inlineStr">
        <is>
          <t>STOCKHOLMS LÄN</t>
        </is>
      </c>
      <c r="E28" t="inlineStr">
        <is>
          <t>EKERÖ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35047-2025</t>
        </is>
      </c>
      <c r="B29" s="1" t="n">
        <v>45852.35094907408</v>
      </c>
      <c r="C29" s="1" t="n">
        <v>46137</v>
      </c>
      <c r="D29" t="inlineStr">
        <is>
          <t>STOCKHOLMS LÄN</t>
        </is>
      </c>
      <c r="E29" t="inlineStr">
        <is>
          <t>EKERÖ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45876.39396990741</v>
      </c>
      <c r="C30" s="1" t="n">
        <v>46137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46137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46137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2533-2026</t>
        </is>
      </c>
      <c r="B33" s="1" t="n">
        <v>46037</v>
      </c>
      <c r="C33" s="1" t="n">
        <v>46137</v>
      </c>
      <c r="D33" t="inlineStr">
        <is>
          <t>STOCKHOLMS LÄN</t>
        </is>
      </c>
      <c r="E33" t="inlineStr">
        <is>
          <t>EKERÖ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46137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2535-2026</t>
        </is>
      </c>
      <c r="B35" s="1" t="n">
        <v>46037.4490625</v>
      </c>
      <c r="C35" s="1" t="n">
        <v>46137</v>
      </c>
      <c r="D35" t="inlineStr">
        <is>
          <t>STOCKHOLMS LÄN</t>
        </is>
      </c>
      <c r="E35" t="inlineStr">
        <is>
          <t>EKERÖ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61217-2024</t>
        </is>
      </c>
      <c r="B36" s="1" t="n">
        <v>45645.65825231482</v>
      </c>
      <c r="C36" s="1" t="n">
        <v>46137</v>
      </c>
      <c r="D36" t="inlineStr">
        <is>
          <t>STOCKHOLMS LÄN</t>
        </is>
      </c>
      <c r="E36" t="inlineStr">
        <is>
          <t>EKERÖ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56002-2024</t>
        </is>
      </c>
      <c r="B37" s="1" t="n">
        <v>45623.7328587963</v>
      </c>
      <c r="C37" s="1" t="n">
        <v>46137</v>
      </c>
      <c r="D37" t="inlineStr">
        <is>
          <t>STOCKHOLMS LÄN</t>
        </is>
      </c>
      <c r="E37" t="inlineStr">
        <is>
          <t>EKERÖ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46137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19935-2025</t>
        </is>
      </c>
      <c r="B39" s="1" t="n">
        <v>45771</v>
      </c>
      <c r="C39" s="1" t="n">
        <v>46137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3222-2022</t>
        </is>
      </c>
      <c r="B40" s="1" t="n">
        <v>44582</v>
      </c>
      <c r="C40" s="1" t="n">
        <v>46137</v>
      </c>
      <c r="D40" t="inlineStr">
        <is>
          <t>STOCKHOLMS LÄN</t>
        </is>
      </c>
      <c r="E40" t="inlineStr">
        <is>
          <t>EKERÖ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2026-04-25T11:00:32Z</dcterms:created>
  <dcterms:modified xmlns:dcterms="http://purl.org/dc/terms/" xmlns:xsi="http://www.w3.org/2001/XMLSchema-instance" xsi:type="dcterms:W3CDTF">2026-04-25T11:00:32Z</dcterms:modified>
</cp:coreProperties>
</file>