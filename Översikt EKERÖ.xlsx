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46312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46312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46312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46312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46312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Läderbagge
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3218-2022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44582</v>
      </c>
      <c r="E7" s="1" t="n">
        <v>46312</v>
      </c>
      <c r="F7" t="inlineStr">
        <is>
          <t>STOCKHOLMS LÄN</t>
        </is>
      </c>
      <c r="G7" t="inlineStr">
        <is>
          <t>EKERÖ</t>
        </is>
      </c>
      <c r="I7" t="n">
        <v>1.2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8</v>
      </c>
      <c r="U7" t="n">
        <v>6</v>
      </c>
      <c r="V7" s="2" t="inlineStr">
        <is>
          <t>Bombmurkla
Gul lammticka
Fyrflikig jordstjärna
Kamjordstjärna
Blåbär</t>
        </is>
      </c>
      <c r="W7">
        <f>HYPERLINK("https://klasma.github.io/Logging_0125/artfynd/A 3218-2022 artfynd.xlsx", "A 3218-2022")</f>
        <v/>
      </c>
      <c r="X7">
        <f>HYPERLINK("https://klasma.github.io/Logging_0125/kartor/A 3218-2022 karta.png", "A 3218-2022")</f>
        <v/>
      </c>
      <c r="Y7">
        <f>HYPERLINK("https://klasma.github.io/Logging_0125/kartor_geotiff/A 3218-2022 georefererad karta.tif", "A 3218-2022")</f>
        <v/>
      </c>
      <c r="AA7">
        <f>HYPERLINK("https://klasma.github.io/Logging_0125/klagomål/A 3218-2022 FSC-klagomål.docx", "A 3218-2022")</f>
        <v/>
      </c>
      <c r="AB7">
        <f>HYPERLINK("https://klasma.github.io/Logging_0125/klagomålsmail/A 3218-2022 FSC-klagomål mail.docx", "A 3218-2022")</f>
        <v/>
      </c>
      <c r="AC7">
        <f>HYPERLINK("https://klasma.github.io/Logging_0125/tillsyn/A 3218-2022 tillsynsbegäran.docx", "A 3218-2022")</f>
        <v/>
      </c>
      <c r="AD7">
        <f>HYPERLINK("https://klasma.github.io/Logging_0125/tillsynsmail/A 3218-2022 tillsynsbegäran mail.docx", "A 3218-2022")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46312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46312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46312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46312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46312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46312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46312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46312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46312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2533-2026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46037</v>
      </c>
      <c r="E17" s="1" t="n">
        <v>46312</v>
      </c>
      <c r="F17" t="inlineStr">
        <is>
          <t>STOCKHOLMS LÄN</t>
        </is>
      </c>
      <c r="G17" t="inlineStr">
        <is>
          <t>EKERÖ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HYPERLINK("https://klasma.github.io/Logging_0125/artfynd/A 2533-2026 artfynd.xlsx", "A 2533-2026")</f>
        <v/>
      </c>
      <c r="X17">
        <f>HYPERLINK("https://klasma.github.io/Logging_0125/kartor/A 2533-2026 karta.png", "A 2533-2026")</f>
        <v/>
      </c>
      <c r="Y17">
        <f>HYPERLINK("https://klasma.github.io/Logging_0125/kartor_geotiff/A 2533-2026 georefererad karta.tif", "A 2533-2026")</f>
        <v/>
      </c>
      <c r="AA17">
        <f>HYPERLINK("https://klasma.github.io/Logging_0125/klagomål/A 2533-2026 FSC-klagomål.docx", "A 2533-2026")</f>
        <v/>
      </c>
      <c r="AB17">
        <f>HYPERLINK("https://klasma.github.io/Logging_0125/klagomålsmail/A 2533-2026 FSC-klagomål mail.docx", "A 2533-2026")</f>
        <v/>
      </c>
      <c r="AC17">
        <f>HYPERLINK("https://klasma.github.io/Logging_0125/tillsyn/A 2533-2026 tillsynsbegäran.docx", "A 2533-2026")</f>
        <v/>
      </c>
      <c r="AD17">
        <f>HYPERLINK("https://klasma.github.io/Logging_0125/tillsynsmail/A 2533-2026 tillsynsbegäran mail.docx", "A 2533-2026")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46312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46312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46312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46312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46312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20399-2026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46139</v>
      </c>
      <c r="E23" s="1" t="n">
        <v>46312</v>
      </c>
      <c r="F23" t="inlineStr">
        <is>
          <t>STOCKHOLMS LÄN</t>
        </is>
      </c>
      <c r="G23" t="inlineStr">
        <is>
          <t>EKERÖ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20398-2026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46139</v>
      </c>
      <c r="E24" s="1" t="n">
        <v>46312</v>
      </c>
      <c r="F24" t="inlineStr">
        <is>
          <t>STOCKHOLMS LÄN</t>
        </is>
      </c>
      <c r="G24" t="inlineStr">
        <is>
          <t>EKERÖ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20898-2026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46142</v>
      </c>
      <c r="E25" s="1" t="n">
        <v>46312</v>
      </c>
      <c r="F25" t="inlineStr">
        <is>
          <t>STOCKHOLMS LÄN</t>
        </is>
      </c>
      <c r="G25" t="inlineStr">
        <is>
          <t>EKERÖ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55724-2024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45622</v>
      </c>
      <c r="E26" s="1" t="n">
        <v>46312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45148</v>
      </c>
      <c r="E27" s="1" t="n">
        <v>46312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34073-2025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45845</v>
      </c>
      <c r="E28" s="1" t="n">
        <v>46312</v>
      </c>
      <c r="F28" t="inlineStr">
        <is>
          <t>STOCKHOLMS LÄN</t>
        </is>
      </c>
      <c r="G28" t="inlineStr">
        <is>
          <t>EKERÖ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61217-2024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45645</v>
      </c>
      <c r="E29" s="1" t="n">
        <v>46312</v>
      </c>
      <c r="F29" t="inlineStr">
        <is>
          <t>STOCKHOLMS LÄN</t>
        </is>
      </c>
      <c r="G29" t="inlineStr">
        <is>
          <t>EKERÖ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45623</v>
      </c>
      <c r="E30" s="1" t="n">
        <v>46312</v>
      </c>
      <c r="F30" t="inlineStr">
        <is>
          <t>STOCKHOLMS LÄN</t>
        </is>
      </c>
      <c r="G30" t="inlineStr">
        <is>
          <t>EKERÖ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44913</v>
      </c>
      <c r="E31" s="1" t="n">
        <v>46312</v>
      </c>
      <c r="F31" t="inlineStr">
        <is>
          <t>STOCKHOLMS LÄN</t>
        </is>
      </c>
      <c r="G31" t="inlineStr">
        <is>
          <t>EKERÖ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63378-2025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46010</v>
      </c>
      <c r="E32" s="1" t="n">
        <v>46312</v>
      </c>
      <c r="F32" t="inlineStr">
        <is>
          <t>STOCKHOLMS LÄN</t>
        </is>
      </c>
      <c r="G32" t="inlineStr">
        <is>
          <t>EKERÖ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2535-2026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46037</v>
      </c>
      <c r="E33" s="1" t="n">
        <v>46312</v>
      </c>
      <c r="F33" t="inlineStr">
        <is>
          <t>STOCKHOLMS LÄN</t>
        </is>
      </c>
      <c r="G33" t="inlineStr">
        <is>
          <t>EKERÖ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44582</v>
      </c>
      <c r="E34" s="1" t="n">
        <v>46312</v>
      </c>
      <c r="F34" t="inlineStr">
        <is>
          <t>STOCKHOLMS LÄN</t>
        </is>
      </c>
      <c r="G34" t="inlineStr">
        <is>
          <t>EKERÖ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33154-2026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46312</v>
      </c>
      <c r="F35" t="inlineStr">
        <is>
          <t>STOCKHOLMS LÄN</t>
        </is>
      </c>
      <c r="G35" t="inlineStr">
        <is>
          <t>EKERÖ</t>
        </is>
      </c>
      <c r="H35" t="inlineStr">
        <is>
          <t>Övriga statliga verk och myndigheter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46312</v>
      </c>
      <c r="F36" t="inlineStr">
        <is>
          <t>STOCKHOLMS LÄN</t>
        </is>
      </c>
      <c r="G36" t="inlineStr">
        <is>
          <t>EKERÖ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41699-2026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46301</v>
      </c>
      <c r="E37" s="1" t="n">
        <v>46312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37245-2025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45876</v>
      </c>
      <c r="E38" s="1" t="n">
        <v>46312</v>
      </c>
      <c r="F38" t="inlineStr">
        <is>
          <t>STOCKHOLMS LÄN</t>
        </is>
      </c>
      <c r="G38" t="inlineStr">
        <is>
          <t>EKERÖ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>
      <c r="A39" t="inlineStr">
        <is>
          <t>S 1390-2026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46153</v>
      </c>
      <c r="E39" s="1" t="n">
        <v>46312</v>
      </c>
      <c r="F39" t="inlineStr">
        <is>
          <t>STOCKHOLMS LÄN</t>
        </is>
      </c>
      <c r="G39" t="inlineStr">
        <is>
          <t>EKERÖ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2026-10-17T02:06:13Z</dcterms:created>
  <dcterms:modified xmlns:dcterms="http://purl.org/dc/terms/" xmlns:xsi="http://www.w3.org/2001/XMLSchema-instance" xsi:type="dcterms:W3CDTF">2026-10-17T02:06:13Z</dcterms:modified>
</cp:coreProperties>
</file>