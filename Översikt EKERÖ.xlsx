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45875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45875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45875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52884-2022</t>
        </is>
      </c>
      <c r="B5" s="1" t="n">
        <v>44872</v>
      </c>
      <c r="C5" s="1" t="n">
        <v>45875</v>
      </c>
      <c r="D5" t="inlineStr">
        <is>
          <t>STOCKHOLMS LÄN</t>
        </is>
      </c>
      <c r="E5" t="inlineStr">
        <is>
          <t>EKERÖ</t>
        </is>
      </c>
      <c r="F5" t="inlineStr">
        <is>
          <t>Övriga statliga verk och myndigheter</t>
        </is>
      </c>
      <c r="G5" t="n">
        <v>4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Grönsiska
Järnsparv
Kungsfågel</t>
        </is>
      </c>
      <c r="S5">
        <f>HYPERLINK("https://klasma.github.io/Logging_0125/artfynd/A 52884-2022 artfynd.xlsx", "A 52884-2022")</f>
        <v/>
      </c>
      <c r="T5">
        <f>HYPERLINK("https://klasma.github.io/Logging_0125/kartor/A 52884-2022 karta.png", "A 52884-2022")</f>
        <v/>
      </c>
      <c r="V5">
        <f>HYPERLINK("https://klasma.github.io/Logging_0125/klagomål/A 52884-2022 FSC-klagomål.docx", "A 52884-2022")</f>
        <v/>
      </c>
      <c r="W5">
        <f>HYPERLINK("https://klasma.github.io/Logging_0125/klagomålsmail/A 52884-2022 FSC-klagomål mail.docx", "A 52884-2022")</f>
        <v/>
      </c>
      <c r="X5">
        <f>HYPERLINK("https://klasma.github.io/Logging_0125/tillsyn/A 52884-2022 tillsynsbegäran.docx", "A 52884-2022")</f>
        <v/>
      </c>
      <c r="Y5">
        <f>HYPERLINK("https://klasma.github.io/Logging_0125/tillsynsmail/A 52884-2022 tillsynsbegäran mail.docx", "A 52884-2022")</f>
        <v/>
      </c>
      <c r="Z5">
        <f>HYPERLINK("https://klasma.github.io/Logging_0125/fåglar/A 52884-2022 prioriterade fågelarter.docx", "A 52884-2022")</f>
        <v/>
      </c>
    </row>
    <row r="6" ht="15" customHeight="1">
      <c r="A6" t="inlineStr">
        <is>
          <t>A 4996-2024</t>
        </is>
      </c>
      <c r="B6" s="1" t="n">
        <v>45329</v>
      </c>
      <c r="C6" s="1" t="n">
        <v>45875</v>
      </c>
      <c r="D6" t="inlineStr">
        <is>
          <t>STOCKHOLMS LÄN</t>
        </is>
      </c>
      <c r="E6" t="inlineStr">
        <is>
          <t>EKERÖ</t>
        </is>
      </c>
      <c r="G6" t="n">
        <v>136.9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Bombmurkla
Sårläka
Grönvit nattviol
Blåsippa</t>
        </is>
      </c>
      <c r="S6">
        <f>HYPERLINK("https://klasma.github.io/Logging_0125/artfynd/A 4996-2024 artfynd.xlsx", "A 4996-2024")</f>
        <v/>
      </c>
      <c r="T6">
        <f>HYPERLINK("https://klasma.github.io/Logging_0125/kartor/A 4996-2024 karta.png", "A 4996-2024")</f>
        <v/>
      </c>
      <c r="V6">
        <f>HYPERLINK("https://klasma.github.io/Logging_0125/klagomål/A 4996-2024 FSC-klagomål.docx", "A 4996-2024")</f>
        <v/>
      </c>
      <c r="W6">
        <f>HYPERLINK("https://klasma.github.io/Logging_0125/klagomålsmail/A 4996-2024 FSC-klagomål mail.docx", "A 4996-2024")</f>
        <v/>
      </c>
      <c r="X6">
        <f>HYPERLINK("https://klasma.github.io/Logging_0125/tillsyn/A 4996-2024 tillsynsbegäran.docx", "A 4996-2024")</f>
        <v/>
      </c>
      <c r="Y6">
        <f>HYPERLINK("https://klasma.github.io/Logging_0125/tillsynsmail/A 4996-2024 tillsynsbegäran mail.docx", "A 4996-2024")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45875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s="1" t="n">
        <v>45002</v>
      </c>
      <c r="C8" s="1" t="n">
        <v>45875</v>
      </c>
      <c r="D8" t="inlineStr">
        <is>
          <t>STOCKHOLMS LÄN</t>
        </is>
      </c>
      <c r="E8" t="inlineStr">
        <is>
          <t>EKERÖ</t>
        </is>
      </c>
      <c r="F8" t="inlineStr">
        <is>
          <t>Kommuner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Granbarkgnagare
Blåsippa</t>
        </is>
      </c>
      <c r="S8">
        <f>HYPERLINK("https://klasma.github.io/Logging_0125/artfynd/A 13237-2023 artfynd.xlsx", "A 13237-2023")</f>
        <v/>
      </c>
      <c r="T8">
        <f>HYPERLINK("https://klasma.github.io/Logging_0125/kartor/A 13237-2023 karta.png", "A 13237-2023")</f>
        <v/>
      </c>
      <c r="V8">
        <f>HYPERLINK("https://klasma.github.io/Logging_0125/klagomål/A 13237-2023 FSC-klagomål.docx", "A 13237-2023")</f>
        <v/>
      </c>
      <c r="W8">
        <f>HYPERLINK("https://klasma.github.io/Logging_0125/klagomålsmail/A 13237-2023 FSC-klagomål mail.docx", "A 13237-2023")</f>
        <v/>
      </c>
      <c r="X8">
        <f>HYPERLINK("https://klasma.github.io/Logging_0125/tillsyn/A 13237-2023 tillsynsbegäran.docx", "A 13237-2023")</f>
        <v/>
      </c>
      <c r="Y8">
        <f>HYPERLINK("https://klasma.github.io/Logging_0125/tillsynsmail/A 13237-2023 tillsynsbegäran mail.docx", "A 13237-2023")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45875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</v>
      </c>
      <c r="C10" s="1" t="n">
        <v>45875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HYPERLINK("https://klasma.github.io/Logging_010125/artfynd/A 26588-2025 artfynd.xlsx", "A 26588-2025")</f>
        <v/>
      </c>
      <c r="T10">
        <f>HYPERLINK("https://klasma.github.io/Logging_010125/kartor/A 26588-2025 karta.png", "A 26588-2025")</f>
        <v/>
      </c>
      <c r="V10">
        <f>HYPERLINK("https://klasma.github.io/Logging_010125/klagomål/A 26588-2025 FSC-klagomål.docx", "A 26588-2025")</f>
        <v/>
      </c>
      <c r="W10">
        <f>HYPERLINK("https://klasma.github.io/Logging_010125/klagomålsmail/A 26588-2025 FSC-klagomål mail.docx", "A 26588-2025")</f>
        <v/>
      </c>
      <c r="X10">
        <f>HYPERLINK("https://klasma.github.io/Logging_010125/tillsyn/A 26588-2025 tillsynsbegäran.docx", "A 26588-2025")</f>
        <v/>
      </c>
      <c r="Y10">
        <f>HYPERLINK("https://klasma.github.io/Logging_010125/tillsynsmail/A 26588-2025 tillsynsbegäran mail.docx", "A 26588-2025")</f>
        <v/>
      </c>
    </row>
    <row r="11" ht="15" customHeight="1">
      <c r="A11" t="inlineStr">
        <is>
          <t>A 31167-2019</t>
        </is>
      </c>
      <c r="B11" s="1" t="n">
        <v>43635</v>
      </c>
      <c r="C11" s="1" t="n">
        <v>45875</v>
      </c>
      <c r="D11" t="inlineStr">
        <is>
          <t>STOCKHOLMS LÄN</t>
        </is>
      </c>
      <c r="E11" t="inlineStr">
        <is>
          <t>EKERÖ</t>
        </is>
      </c>
      <c r="F11" t="inlineStr">
        <is>
          <t>Övriga statliga verk och myndigheter</t>
        </is>
      </c>
      <c r="G11" t="n">
        <v>3.7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Läderbagge</t>
        </is>
      </c>
      <c r="S11">
        <f>HYPERLINK("https://klasma.github.io/Logging_0125/artfynd/A 31167-2019 artfynd.xlsx", "A 31167-2019")</f>
        <v/>
      </c>
      <c r="T11">
        <f>HYPERLINK("https://klasma.github.io/Logging_0125/kartor/A 31167-2019 karta.png", "A 31167-2019")</f>
        <v/>
      </c>
      <c r="V11">
        <f>HYPERLINK("https://klasma.github.io/Logging_0125/klagomål/A 31167-2019 FSC-klagomål.docx", "A 31167-2019")</f>
        <v/>
      </c>
      <c r="W11">
        <f>HYPERLINK("https://klasma.github.io/Logging_0125/klagomålsmail/A 31167-2019 FSC-klagomål mail.docx", "A 31167-2019")</f>
        <v/>
      </c>
      <c r="X11">
        <f>HYPERLINK("https://klasma.github.io/Logging_0125/tillsyn/A 31167-2019 tillsynsbegäran.docx", "A 31167-2019")</f>
        <v/>
      </c>
      <c r="Y11">
        <f>HYPERLINK("https://klasma.github.io/Logging_0125/tillsynsmail/A 31167-2019 tillsynsbegäran mail.docx", "A 31167-2019")</f>
        <v/>
      </c>
    </row>
    <row r="12" ht="15" customHeight="1">
      <c r="A12" t="inlineStr">
        <is>
          <t>A 54231-2019</t>
        </is>
      </c>
      <c r="B12" s="1" t="n">
        <v>43753</v>
      </c>
      <c r="C12" s="1" t="n">
        <v>45875</v>
      </c>
      <c r="D12" t="inlineStr">
        <is>
          <t>STOCKHOLMS LÄN</t>
        </is>
      </c>
      <c r="E12" t="inlineStr">
        <is>
          <t>EKERÖ</t>
        </is>
      </c>
      <c r="G12" t="n">
        <v>6.2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HYPERLINK("https://klasma.github.io/Logging_0125/artfynd/A 54231-2019 artfynd.xlsx", "A 54231-2019")</f>
        <v/>
      </c>
      <c r="T12">
        <f>HYPERLINK("https://klasma.github.io/Logging_0125/kartor/A 54231-2019 karta.png", "A 54231-2019")</f>
        <v/>
      </c>
      <c r="V12">
        <f>HYPERLINK("https://klasma.github.io/Logging_0125/klagomål/A 54231-2019 FSC-klagomål.docx", "A 54231-2019")</f>
        <v/>
      </c>
      <c r="W12">
        <f>HYPERLINK("https://klasma.github.io/Logging_0125/klagomålsmail/A 54231-2019 FSC-klagomål mail.docx", "A 54231-2019")</f>
        <v/>
      </c>
      <c r="X12">
        <f>HYPERLINK("https://klasma.github.io/Logging_0125/tillsyn/A 54231-2019 tillsynsbegäran.docx", "A 54231-2019")</f>
        <v/>
      </c>
      <c r="Y12">
        <f>HYPERLINK("https://klasma.github.io/Logging_0125/tillsynsmail/A 54231-2019 tillsynsbegäran mail.docx", "A 54231-2019")</f>
        <v/>
      </c>
    </row>
    <row r="13" ht="15" customHeight="1">
      <c r="A13" t="inlineStr">
        <is>
          <t>A 7032-2020</t>
        </is>
      </c>
      <c r="B13" s="1" t="n">
        <v>43868</v>
      </c>
      <c r="C13" s="1" t="n">
        <v>45875</v>
      </c>
      <c r="D13" t="inlineStr">
        <is>
          <t>STOCKHOLMS LÄN</t>
        </is>
      </c>
      <c r="E13" t="inlineStr">
        <is>
          <t>EKERÖ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HYPERLINK("https://klasma.github.io/Logging_0125/artfynd/A 7032-2020 artfynd.xlsx", "A 7032-2020")</f>
        <v/>
      </c>
      <c r="T13">
        <f>HYPERLINK("https://klasma.github.io/Logging_0125/kartor/A 7032-2020 karta.png", "A 7032-2020")</f>
        <v/>
      </c>
      <c r="V13">
        <f>HYPERLINK("https://klasma.github.io/Logging_0125/klagomål/A 7032-2020 FSC-klagomål.docx", "A 7032-2020")</f>
        <v/>
      </c>
      <c r="W13">
        <f>HYPERLINK("https://klasma.github.io/Logging_0125/klagomålsmail/A 7032-2020 FSC-klagomål mail.docx", "A 7032-2020")</f>
        <v/>
      </c>
      <c r="X13">
        <f>HYPERLINK("https://klasma.github.io/Logging_0125/tillsyn/A 7032-2020 tillsynsbegäran.docx", "A 7032-2020")</f>
        <v/>
      </c>
      <c r="Y13">
        <f>HYPERLINK("https://klasma.github.io/Logging_0125/tillsynsmail/A 7032-2020 tillsynsbegäran mail.docx", "A 7032-2020")</f>
        <v/>
      </c>
    </row>
    <row r="14" ht="15" customHeight="1">
      <c r="A14" t="inlineStr">
        <is>
          <t>A 13891-2022</t>
        </is>
      </c>
      <c r="B14" s="1" t="n">
        <v>44646</v>
      </c>
      <c r="C14" s="1" t="n">
        <v>45875</v>
      </c>
      <c r="D14" t="inlineStr">
        <is>
          <t>STOCKHOLMS LÄN</t>
        </is>
      </c>
      <c r="E14" t="inlineStr">
        <is>
          <t>EKERÖ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Granbarkgnagare</t>
        </is>
      </c>
      <c r="S14">
        <f>HYPERLINK("https://klasma.github.io/Logging_0125/artfynd/A 13891-2022 artfynd.xlsx", "A 13891-2022")</f>
        <v/>
      </c>
      <c r="T14">
        <f>HYPERLINK("https://klasma.github.io/Logging_0125/kartor/A 13891-2022 karta.png", "A 13891-2022")</f>
        <v/>
      </c>
      <c r="V14">
        <f>HYPERLINK("https://klasma.github.io/Logging_0125/klagomål/A 13891-2022 FSC-klagomål.docx", "A 13891-2022")</f>
        <v/>
      </c>
      <c r="W14">
        <f>HYPERLINK("https://klasma.github.io/Logging_0125/klagomålsmail/A 13891-2022 FSC-klagomål mail.docx", "A 13891-2022")</f>
        <v/>
      </c>
      <c r="X14">
        <f>HYPERLINK("https://klasma.github.io/Logging_0125/tillsyn/A 13891-2022 tillsynsbegäran.docx", "A 13891-2022")</f>
        <v/>
      </c>
      <c r="Y14">
        <f>HYPERLINK("https://klasma.github.io/Logging_0125/tillsynsmail/A 13891-2022 tillsynsbegäran mail.docx", "A 13891-2022")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45875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14014-2023</t>
        </is>
      </c>
      <c r="B16" s="1" t="n">
        <v>45008</v>
      </c>
      <c r="C16" s="1" t="n">
        <v>45875</v>
      </c>
      <c r="D16" t="inlineStr">
        <is>
          <t>STOCKHOLMS LÄN</t>
        </is>
      </c>
      <c r="E16" t="inlineStr">
        <is>
          <t>EKERÖ</t>
        </is>
      </c>
      <c r="G16" t="n">
        <v>4.7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HYPERLINK("https://klasma.github.io/Logging_0125/artfynd/A 14014-2023 artfynd.xlsx", "A 14014-2023")</f>
        <v/>
      </c>
      <c r="T16">
        <f>HYPERLINK("https://klasma.github.io/Logging_0125/kartor/A 14014-2023 karta.png", "A 14014-2023")</f>
        <v/>
      </c>
      <c r="V16">
        <f>HYPERLINK("https://klasma.github.io/Logging_0125/klagomål/A 14014-2023 FSC-klagomål.docx", "A 14014-2023")</f>
        <v/>
      </c>
      <c r="W16">
        <f>HYPERLINK("https://klasma.github.io/Logging_0125/klagomålsmail/A 14014-2023 FSC-klagomål mail.docx", "A 14014-2023")</f>
        <v/>
      </c>
      <c r="X16">
        <f>HYPERLINK("https://klasma.github.io/Logging_0125/tillsyn/A 14014-2023 tillsynsbegäran.docx", "A 14014-2023")</f>
        <v/>
      </c>
      <c r="Y16">
        <f>HYPERLINK("https://klasma.github.io/Logging_0125/tillsynsmail/A 14014-2023 tillsynsbegäran mail.docx", "A 14014-2023")</f>
        <v/>
      </c>
      <c r="Z16">
        <f>HYPERLINK("https://klasma.github.io/Logging_0125/fåglar/A 14014-2023 prioriterade fågelarter.docx", "A 14014-2023")</f>
        <v/>
      </c>
    </row>
    <row r="17" ht="15" customHeight="1">
      <c r="A17" t="inlineStr">
        <is>
          <t>A 35953-2023</t>
        </is>
      </c>
      <c r="B17" s="1" t="n">
        <v>45148</v>
      </c>
      <c r="C17" s="1" t="n">
        <v>45875</v>
      </c>
      <c r="D17" t="inlineStr">
        <is>
          <t>STOCKHOLMS LÄN</t>
        </is>
      </c>
      <c r="E17" t="inlineStr">
        <is>
          <t>EKERÖ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HYPERLINK("https://klasma.github.io/Logging_0125/artfynd/A 35953-2023 artfynd.xlsx", "A 35953-2023")</f>
        <v/>
      </c>
      <c r="T17">
        <f>HYPERLINK("https://klasma.github.io/Logging_0125/kartor/A 35953-2023 karta.png", "A 35953-2023")</f>
        <v/>
      </c>
      <c r="V17">
        <f>HYPERLINK("https://klasma.github.io/Logging_0125/klagomål/A 35953-2023 FSC-klagomål.docx", "A 35953-2023")</f>
        <v/>
      </c>
      <c r="W17">
        <f>HYPERLINK("https://klasma.github.io/Logging_0125/klagomålsmail/A 35953-2023 FSC-klagomål mail.docx", "A 35953-2023")</f>
        <v/>
      </c>
      <c r="X17">
        <f>HYPERLINK("https://klasma.github.io/Logging_0125/tillsyn/A 35953-2023 tillsynsbegäran.docx", "A 35953-2023")</f>
        <v/>
      </c>
      <c r="Y17">
        <f>HYPERLINK("https://klasma.github.io/Logging_0125/tillsynsmail/A 35953-2023 tillsynsbegäran mail.docx", "A 35953-2023")</f>
        <v/>
      </c>
    </row>
    <row r="18" ht="15" customHeight="1">
      <c r="A18" t="inlineStr">
        <is>
          <t>A 52545-2024</t>
        </is>
      </c>
      <c r="B18" s="1" t="n">
        <v>45609</v>
      </c>
      <c r="C18" s="1" t="n">
        <v>45875</v>
      </c>
      <c r="D18" t="inlineStr">
        <is>
          <t>STOCKHOLMS LÄN</t>
        </is>
      </c>
      <c r="E18" t="inlineStr">
        <is>
          <t>EKERÖ</t>
        </is>
      </c>
      <c r="G18" t="n">
        <v>2.8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HYPERLINK("https://klasma.github.io/Logging_0125/artfynd/A 52545-2024 artfynd.xlsx", "A 52545-2024")</f>
        <v/>
      </c>
      <c r="T18">
        <f>HYPERLINK("https://klasma.github.io/Logging_0125/kartor/A 52545-2024 karta.png", "A 52545-2024")</f>
        <v/>
      </c>
      <c r="V18">
        <f>HYPERLINK("https://klasma.github.io/Logging_0125/klagomål/A 52545-2024 FSC-klagomål.docx", "A 52545-2024")</f>
        <v/>
      </c>
      <c r="W18">
        <f>HYPERLINK("https://klasma.github.io/Logging_0125/klagomålsmail/A 52545-2024 FSC-klagomål mail.docx", "A 52545-2024")</f>
        <v/>
      </c>
      <c r="X18">
        <f>HYPERLINK("https://klasma.github.io/Logging_0125/tillsyn/A 52545-2024 tillsynsbegäran.docx", "A 52545-2024")</f>
        <v/>
      </c>
      <c r="Y18">
        <f>HYPERLINK("https://klasma.github.io/Logging_0125/tillsynsmail/A 52545-2024 tillsynsbegäran mail.docx", "A 52545-2024")</f>
        <v/>
      </c>
    </row>
    <row r="19" ht="15" customHeight="1">
      <c r="A19" t="inlineStr">
        <is>
          <t>A 1793-2025</t>
        </is>
      </c>
      <c r="B19" s="1" t="n">
        <v>45671</v>
      </c>
      <c r="C19" s="1" t="n">
        <v>45875</v>
      </c>
      <c r="D19" t="inlineStr">
        <is>
          <t>STOCKHOLMS LÄN</t>
        </is>
      </c>
      <c r="E19" t="inlineStr">
        <is>
          <t>EKERÖ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HYPERLINK("https://klasma.github.io/Logging_0125/artfynd/A 1793-2025 artfynd.xlsx", "A 1793-2025")</f>
        <v/>
      </c>
      <c r="T19">
        <f>HYPERLINK("https://klasma.github.io/Logging_0125/kartor/A 1793-2025 karta.png", "A 1793-2025")</f>
        <v/>
      </c>
      <c r="V19">
        <f>HYPERLINK("https://klasma.github.io/Logging_0125/klagomål/A 1793-2025 FSC-klagomål.docx", "A 1793-2025")</f>
        <v/>
      </c>
      <c r="W19">
        <f>HYPERLINK("https://klasma.github.io/Logging_0125/klagomålsmail/A 1793-2025 FSC-klagomål mail.docx", "A 1793-2025")</f>
        <v/>
      </c>
      <c r="X19">
        <f>HYPERLINK("https://klasma.github.io/Logging_0125/tillsyn/A 1793-2025 tillsynsbegäran.docx", "A 1793-2025")</f>
        <v/>
      </c>
      <c r="Y19">
        <f>HYPERLINK("https://klasma.github.io/Logging_0125/tillsynsmail/A 1793-2025 tillsynsbegäran mail.docx", "A 1793-2025")</f>
        <v/>
      </c>
    </row>
    <row r="20" ht="15" customHeight="1">
      <c r="A20" t="inlineStr">
        <is>
          <t>A 31171-2019</t>
        </is>
      </c>
      <c r="B20" s="1" t="n">
        <v>43635</v>
      </c>
      <c r="C20" s="1" t="n">
        <v>45875</v>
      </c>
      <c r="D20" t="inlineStr">
        <is>
          <t>STOCKHOLMS LÄN</t>
        </is>
      </c>
      <c r="E20" t="inlineStr">
        <is>
          <t>EKERÖ</t>
        </is>
      </c>
      <c r="F20" t="inlineStr">
        <is>
          <t>Övriga statliga verk och myndigheter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54187-2019</t>
        </is>
      </c>
      <c r="B21" s="1" t="n">
        <v>43753</v>
      </c>
      <c r="C21" s="1" t="n">
        <v>45875</v>
      </c>
      <c r="D21" t="inlineStr">
        <is>
          <t>STOCKHOLMS LÄN</t>
        </is>
      </c>
      <c r="E21" t="inlineStr">
        <is>
          <t>EKERÖ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64656-2019</t>
        </is>
      </c>
      <c r="B22" s="1" t="n">
        <v>43798</v>
      </c>
      <c r="C22" s="1" t="n">
        <v>45875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66603-2019</t>
        </is>
      </c>
      <c r="B23" s="1" t="n">
        <v>43809</v>
      </c>
      <c r="C23" s="1" t="n">
        <v>45875</v>
      </c>
      <c r="D23" t="inlineStr">
        <is>
          <t>STOCKHOLMS LÄN</t>
        </is>
      </c>
      <c r="E23" t="inlineStr">
        <is>
          <t>EKERÖ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66599-2019</t>
        </is>
      </c>
      <c r="B24" s="1" t="n">
        <v>43809</v>
      </c>
      <c r="C24" s="1" t="n">
        <v>45875</v>
      </c>
      <c r="D24" t="inlineStr">
        <is>
          <t>STOCKHOLMS LÄN</t>
        </is>
      </c>
      <c r="E24" t="inlineStr">
        <is>
          <t>EKERÖ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292-2020</t>
        </is>
      </c>
      <c r="B25" s="1" t="n">
        <v>43837</v>
      </c>
      <c r="C25" s="1" t="n">
        <v>45875</v>
      </c>
      <c r="D25" t="inlineStr">
        <is>
          <t>STOCKHOLMS LÄN</t>
        </is>
      </c>
      <c r="E25" t="inlineStr">
        <is>
          <t>EKERÖ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4353-2020</t>
        </is>
      </c>
      <c r="B26" s="1" t="n">
        <v>43857</v>
      </c>
      <c r="C26" s="1" t="n">
        <v>45875</v>
      </c>
      <c r="D26" t="inlineStr">
        <is>
          <t>STOCKHOLMS LÄN</t>
        </is>
      </c>
      <c r="E26" t="inlineStr">
        <is>
          <t>EKERÖ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10395-2020</t>
        </is>
      </c>
      <c r="B27" s="1" t="n">
        <v>43885</v>
      </c>
      <c r="C27" s="1" t="n">
        <v>45875</v>
      </c>
      <c r="D27" t="inlineStr">
        <is>
          <t>STOCKHOLMS LÄN</t>
        </is>
      </c>
      <c r="E27" t="inlineStr">
        <is>
          <t>EKERÖ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17552-2020</t>
        </is>
      </c>
      <c r="B28" s="1" t="n">
        <v>43892</v>
      </c>
      <c r="C28" s="1" t="n">
        <v>45875</v>
      </c>
      <c r="D28" t="inlineStr">
        <is>
          <t>STOCKHOLMS LÄN</t>
        </is>
      </c>
      <c r="E28" t="inlineStr">
        <is>
          <t>EKERÖ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17546-2020</t>
        </is>
      </c>
      <c r="B29" s="1" t="n">
        <v>43892</v>
      </c>
      <c r="C29" s="1" t="n">
        <v>45875</v>
      </c>
      <c r="D29" t="inlineStr">
        <is>
          <t>STOCKHOLMS LÄN</t>
        </is>
      </c>
      <c r="E29" t="inlineStr">
        <is>
          <t>EKERÖ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15756-2020</t>
        </is>
      </c>
      <c r="B30" s="1" t="n">
        <v>43915</v>
      </c>
      <c r="C30" s="1" t="n">
        <v>45875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34185-2020</t>
        </is>
      </c>
      <c r="B31" s="1" t="n">
        <v>44029</v>
      </c>
      <c r="C31" s="1" t="n">
        <v>45875</v>
      </c>
      <c r="D31" t="inlineStr">
        <is>
          <t>STOCKHOLMS LÄN</t>
        </is>
      </c>
      <c r="E31" t="inlineStr">
        <is>
          <t>EKERÖ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35012-2020</t>
        </is>
      </c>
      <c r="B32" s="1" t="n">
        <v>44039</v>
      </c>
      <c r="C32" s="1" t="n">
        <v>45875</v>
      </c>
      <c r="D32" t="inlineStr">
        <is>
          <t>STOCKHOLMS LÄN</t>
        </is>
      </c>
      <c r="E32" t="inlineStr">
        <is>
          <t>EKERÖ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1553-2021</t>
        </is>
      </c>
      <c r="B33" s="1" t="n">
        <v>44209</v>
      </c>
      <c r="C33" s="1" t="n">
        <v>45875</v>
      </c>
      <c r="D33" t="inlineStr">
        <is>
          <t>STOCKHOLMS LÄN</t>
        </is>
      </c>
      <c r="E33" t="inlineStr">
        <is>
          <t>EKERÖ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3702-2021</t>
        </is>
      </c>
      <c r="B34" s="1" t="n">
        <v>44221</v>
      </c>
      <c r="C34" s="1" t="n">
        <v>45875</v>
      </c>
      <c r="D34" t="inlineStr">
        <is>
          <t>STOCKHOLMS LÄN</t>
        </is>
      </c>
      <c r="E34" t="inlineStr">
        <is>
          <t>EKERÖ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29533-2021</t>
        </is>
      </c>
      <c r="B35" s="1" t="n">
        <v>44361</v>
      </c>
      <c r="C35" s="1" t="n">
        <v>45875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61196-2021</t>
        </is>
      </c>
      <c r="B36" s="1" t="n">
        <v>44498</v>
      </c>
      <c r="C36" s="1" t="n">
        <v>45875</v>
      </c>
      <c r="D36" t="inlineStr">
        <is>
          <t>STOCKHOLMS LÄN</t>
        </is>
      </c>
      <c r="E36" t="inlineStr">
        <is>
          <t>EKERÖ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65129-2021</t>
        </is>
      </c>
      <c r="B37" s="1" t="n">
        <v>44515</v>
      </c>
      <c r="C37" s="1" t="n">
        <v>45875</v>
      </c>
      <c r="D37" t="inlineStr">
        <is>
          <t>STOCKHOLMS LÄN</t>
        </is>
      </c>
      <c r="E37" t="inlineStr">
        <is>
          <t>EKERÖ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45875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3221-2022</t>
        </is>
      </c>
      <c r="B39" s="1" t="n">
        <v>44582</v>
      </c>
      <c r="C39" s="1" t="n">
        <v>45875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3219-2022</t>
        </is>
      </c>
      <c r="B40" s="1" t="n">
        <v>44582</v>
      </c>
      <c r="C40" s="1" t="n">
        <v>45875</v>
      </c>
      <c r="D40" t="inlineStr">
        <is>
          <t>STOCKHOLMS LÄN</t>
        </is>
      </c>
      <c r="E40" t="inlineStr">
        <is>
          <t>EKERÖ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15630-2022</t>
        </is>
      </c>
      <c r="B41" s="1" t="n">
        <v>44662</v>
      </c>
      <c r="C41" s="1" t="n">
        <v>45875</v>
      </c>
      <c r="D41" t="inlineStr">
        <is>
          <t>STOCKHOLMS LÄN</t>
        </is>
      </c>
      <c r="E41" t="inlineStr">
        <is>
          <t>EKERÖ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16242-2022</t>
        </is>
      </c>
      <c r="B42" s="1" t="n">
        <v>44670</v>
      </c>
      <c r="C42" s="1" t="n">
        <v>45875</v>
      </c>
      <c r="D42" t="inlineStr">
        <is>
          <t>STOCKHOLMS LÄN</t>
        </is>
      </c>
      <c r="E42" t="inlineStr">
        <is>
          <t>EKERÖ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36063-2022</t>
        </is>
      </c>
      <c r="B43" s="1" t="n">
        <v>44802</v>
      </c>
      <c r="C43" s="1" t="n">
        <v>45875</v>
      </c>
      <c r="D43" t="inlineStr">
        <is>
          <t>STOCKHOLMS LÄN</t>
        </is>
      </c>
      <c r="E43" t="inlineStr">
        <is>
          <t>EKERÖ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45875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45875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45875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45875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45875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45875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45875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45875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45875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45875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45875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45875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45875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45875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45875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45875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45875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45875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45875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45875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45875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45875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45875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45875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45875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45875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45875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31607-2025</t>
        </is>
      </c>
      <c r="B71" s="1" t="n">
        <v>45833</v>
      </c>
      <c r="C71" s="1" t="n">
        <v>45875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34073-2025</t>
        </is>
      </c>
      <c r="B72" s="1" t="n">
        <v>45845</v>
      </c>
      <c r="C72" s="1" t="n">
        <v>45875</v>
      </c>
      <c r="D72" t="inlineStr">
        <is>
          <t>STOCKHOLMS LÄN</t>
        </is>
      </c>
      <c r="E72" t="inlineStr">
        <is>
          <t>EKERÖ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35047-2025</t>
        </is>
      </c>
      <c r="B73" s="1" t="n">
        <v>45852</v>
      </c>
      <c r="C73" s="1" t="n">
        <v>45875</v>
      </c>
      <c r="D73" t="inlineStr">
        <is>
          <t>STOCKHOLMS LÄN</t>
        </is>
      </c>
      <c r="E73" t="inlineStr">
        <is>
          <t>EKERÖ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2025-08-06T19:59:17Z</dcterms:created>
  <dcterms:modified xmlns:dcterms="http://purl.org/dc/terms/" xmlns:xsi="http://www.w3.org/2001/XMLSchema-instance" xsi:type="dcterms:W3CDTF">2025-08-06T19:59:17Z</dcterms:modified>
</cp:coreProperties>
</file>