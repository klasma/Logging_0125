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32987-2026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46241</v>
      </c>
      <c r="E2" s="1" t="n">
        <v>46306</v>
      </c>
      <c r="F2" t="inlineStr">
        <is>
          <t>STOCKHOLMS LÄN</t>
        </is>
      </c>
      <c r="G2" t="inlineStr">
        <is>
          <t>EKERÖ</t>
        </is>
      </c>
      <c r="H2" t="inlineStr">
        <is>
          <t>Övriga statliga verk och myndigheter</t>
        </is>
      </c>
      <c r="I2" t="n">
        <v>0.8</v>
      </c>
      <c r="J2" t="n">
        <v>14</v>
      </c>
      <c r="K2" t="n">
        <v>0</v>
      </c>
      <c r="L2" t="n">
        <v>3</v>
      </c>
      <c r="M2" t="n">
        <v>1</v>
      </c>
      <c r="N2" t="n">
        <v>0</v>
      </c>
      <c r="O2" t="n">
        <v>0</v>
      </c>
      <c r="P2" t="n">
        <v>0</v>
      </c>
      <c r="Q2" t="n">
        <v>4</v>
      </c>
      <c r="R2" t="n">
        <v>1</v>
      </c>
      <c r="S2" t="n">
        <v>14</v>
      </c>
      <c r="T2" t="n">
        <v>26</v>
      </c>
      <c r="U2" t="n">
        <v>0</v>
      </c>
      <c r="V2" s="2" t="inlineStr">
        <is>
          <t>Grönfink
Gulsparv
Järnsparv
Nordfladdermus
Blåsippa
Dvärgpipistrell
Gröngöling
Kråka
Kungsfågel
Skogsduva
Större brunfladdermus
Törnskata
Vattenfladdermus
Gullviva</t>
        </is>
      </c>
      <c r="W2">
        <f>HYPERLINK("https://klasma.github.io/Logging_0125/artfynd/A 32987-2026 artfynd.xlsx", "A 32987-2026")</f>
        <v/>
      </c>
      <c r="X2">
        <f>HYPERLINK("https://klasma.github.io/Logging_0125/kartor/A 32987-2026 karta.png", "A 32987-2026")</f>
        <v/>
      </c>
      <c r="Y2">
        <f>HYPERLINK("https://klasma.github.io/Logging_0125/kartor_geotiff/A 32987-2026 georefererad karta.tif", "A 32987-2026")</f>
        <v/>
      </c>
      <c r="AA2">
        <f>HYPERLINK("https://klasma.github.io/Logging_0125/klagomål/A 32987-2026 FSC-klagomål.docx", "A 32987-2026")</f>
        <v/>
      </c>
      <c r="AB2">
        <f>HYPERLINK("https://klasma.github.io/Logging_0125/klagomålsmail/A 32987-2026 FSC-klagomål mail.docx", "A 32987-2026")</f>
        <v/>
      </c>
      <c r="AC2">
        <f>HYPERLINK("https://klasma.github.io/Logging_0125/tillsyn/A 32987-2026 tillsynsbegäran.docx", "A 32987-2026")</f>
        <v/>
      </c>
      <c r="AD2">
        <f>HYPERLINK("https://klasma.github.io/Logging_0125/tillsynsmail/A 32987-2026 tillsynsbegäran mail.docx", "A 32987-2026")</f>
        <v/>
      </c>
      <c r="AE2">
        <f>HYPERLINK("https://klasma.github.io/Logging_0125/fåglar/A 32987-2026 prioriterade fågelarter.docx", "A 32987-2026")</f>
        <v/>
      </c>
    </row>
    <row r="3" ht="15" customHeight="1">
      <c r="A3" t="inlineStr">
        <is>
          <t>A 52884-2022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44872</v>
      </c>
      <c r="E3" s="1" t="n">
        <v>46306</v>
      </c>
      <c r="F3" t="inlineStr">
        <is>
          <t>STOCKHOLMS LÄN</t>
        </is>
      </c>
      <c r="G3" t="inlineStr">
        <is>
          <t>EKERÖ</t>
        </is>
      </c>
      <c r="H3" t="inlineStr">
        <is>
          <t>Övriga statliga verk och myndigheter</t>
        </is>
      </c>
      <c r="I3" t="n">
        <v>4</v>
      </c>
      <c r="J3" t="n">
        <v>6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7</v>
      </c>
      <c r="T3" t="n">
        <v>15</v>
      </c>
      <c r="U3" t="n">
        <v>13</v>
      </c>
      <c r="V3" s="2" t="inlineStr">
        <is>
          <t>Järnsparv
Myskbock
Blåsippa
Spillkråka
Grönsiska
Kungsfågel
Svartvit flugsnappare</t>
        </is>
      </c>
      <c r="W3">
        <f>HYPERLINK("https://klasma.github.io/Logging_0125/artfynd/A 52884-2022 artfynd.xlsx", "A 52884-2022")</f>
        <v/>
      </c>
      <c r="X3">
        <f>HYPERLINK("https://klasma.github.io/Logging_0125/kartor/A 52884-2022 karta.png", "A 52884-2022")</f>
        <v/>
      </c>
      <c r="Y3">
        <f>HYPERLINK("https://klasma.github.io/Logging_0125/kartor_geotiff/A 52884-2022 georefererad karta.tif", "A 52884-2022")</f>
        <v/>
      </c>
      <c r="AA3">
        <f>HYPERLINK("https://klasma.github.io/Logging_0125/klagomål/A 52884-2022 FSC-klagomål.docx", "A 52884-2022")</f>
        <v/>
      </c>
      <c r="AB3">
        <f>HYPERLINK("https://klasma.github.io/Logging_0125/klagomålsmail/A 52884-2022 FSC-klagomål mail.docx", "A 52884-2022")</f>
        <v/>
      </c>
      <c r="AC3">
        <f>HYPERLINK("https://klasma.github.io/Logging_0125/tillsyn/A 52884-2022 tillsynsbegäran.docx", "A 52884-2022")</f>
        <v/>
      </c>
      <c r="AD3">
        <f>HYPERLINK("https://klasma.github.io/Logging_0125/tillsynsmail/A 52884-2022 tillsynsbegäran mail.docx", "A 52884-2022")</f>
        <v/>
      </c>
      <c r="AE3">
        <f>HYPERLINK("https://klasma.github.io/Logging_0125/fåglar/A 52884-2022 prioriterade fågelarter.docx", "A 52884-2022")</f>
        <v/>
      </c>
    </row>
    <row r="4" ht="15" customHeight="1">
      <c r="A4" t="inlineStr">
        <is>
          <t>A 8216-2023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44974</v>
      </c>
      <c r="E4" s="1" t="n">
        <v>46306</v>
      </c>
      <c r="F4" t="inlineStr">
        <is>
          <t>STOCKHOLMS LÄN</t>
        </is>
      </c>
      <c r="G4" t="inlineStr">
        <is>
          <t>EKERÖ</t>
        </is>
      </c>
      <c r="H4" t="inlineStr">
        <is>
          <t>Kommuner</t>
        </is>
      </c>
      <c r="I4" t="n">
        <v>5</v>
      </c>
      <c r="J4" t="n">
        <v>2</v>
      </c>
      <c r="K4" t="n">
        <v>3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6</v>
      </c>
      <c r="T4" t="n">
        <v>9</v>
      </c>
      <c r="U4" t="n">
        <v>0</v>
      </c>
      <c r="V4" s="2" t="inlineStr">
        <is>
          <t>Gul lammticka
Blomkålssvamp
Granbarkgnagare
Thomsons trägnagare
Blåsippa
Kungsfågel</t>
        </is>
      </c>
      <c r="W4">
        <f>HYPERLINK("https://klasma.github.io/Logging_0125/artfynd/A 8216-2023 artfynd.xlsx", "A 8216-2023")</f>
        <v/>
      </c>
      <c r="X4">
        <f>HYPERLINK("https://klasma.github.io/Logging_0125/kartor/A 8216-2023 karta.png", "A 8216-2023")</f>
        <v/>
      </c>
      <c r="Y4">
        <f>HYPERLINK("https://klasma.github.io/Logging_0125/kartor_geotiff/A 8216-2023 georefererad karta.tif", "A 8216-2023")</f>
        <v/>
      </c>
      <c r="AA4">
        <f>HYPERLINK("https://klasma.github.io/Logging_0125/klagomål/A 8216-2023 FSC-klagomål.docx", "A 8216-2023")</f>
        <v/>
      </c>
      <c r="AB4">
        <f>HYPERLINK("https://klasma.github.io/Logging_0125/klagomålsmail/A 8216-2023 FSC-klagomål mail.docx", "A 8216-2023")</f>
        <v/>
      </c>
      <c r="AC4">
        <f>HYPERLINK("https://klasma.github.io/Logging_0125/tillsyn/A 8216-2023 tillsynsbegäran.docx", "A 8216-2023")</f>
        <v/>
      </c>
      <c r="AD4">
        <f>HYPERLINK("https://klasma.github.io/Logging_0125/tillsynsmail/A 8216-2023 tillsynsbegäran mail.docx", "A 8216-2023")</f>
        <v/>
      </c>
    </row>
    <row r="5" ht="15" customHeight="1">
      <c r="A5" t="inlineStr">
        <is>
          <t>A 35953-2023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45148</v>
      </c>
      <c r="E5" s="1" t="n">
        <v>46306</v>
      </c>
      <c r="F5" t="inlineStr">
        <is>
          <t>STOCKHOLMS LÄN</t>
        </is>
      </c>
      <c r="G5" t="inlineStr">
        <is>
          <t>EKERÖ</t>
        </is>
      </c>
      <c r="I5" t="n">
        <v>2.1</v>
      </c>
      <c r="J5" t="n">
        <v>2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3</v>
      </c>
      <c r="R5" t="n">
        <v>2</v>
      </c>
      <c r="S5" t="n">
        <v>6</v>
      </c>
      <c r="T5" t="n">
        <v>14</v>
      </c>
      <c r="U5" t="n">
        <v>9</v>
      </c>
      <c r="V5" s="2" t="inlineStr">
        <is>
          <t>Bombmurkla
Gul lammticka
Fyrflikig jordstjärna
Kamjordstjärna
Blåbär
Vanlig groda</t>
        </is>
      </c>
      <c r="W5">
        <f>HYPERLINK("https://klasma.github.io/Logging_0125/artfynd/A 35953-2023 artfynd.xlsx", "A 35953-2023")</f>
        <v/>
      </c>
      <c r="X5">
        <f>HYPERLINK("https://klasma.github.io/Logging_0125/kartor/A 35953-2023 karta.png", "A 35953-2023")</f>
        <v/>
      </c>
      <c r="Y5">
        <f>HYPERLINK("https://klasma.github.io/Logging_0125/kartor_geotiff/A 35953-2023 georefererad karta.tif", "A 35953-2023")</f>
        <v/>
      </c>
      <c r="AA5">
        <f>HYPERLINK("https://klasma.github.io/Logging_0125/klagomål/A 35953-2023 FSC-klagomål.docx", "A 35953-2023")</f>
        <v/>
      </c>
      <c r="AB5">
        <f>HYPERLINK("https://klasma.github.io/Logging_0125/klagomålsmail/A 35953-2023 FSC-klagomål mail.docx", "A 35953-2023")</f>
        <v/>
      </c>
      <c r="AC5">
        <f>HYPERLINK("https://klasma.github.io/Logging_0125/tillsyn/A 35953-2023 tillsynsbegäran.docx", "A 35953-2023")</f>
        <v/>
      </c>
      <c r="AD5">
        <f>HYPERLINK("https://klasma.github.io/Logging_0125/tillsynsmail/A 35953-2023 tillsynsbegäran mail.docx", "A 35953-2023")</f>
        <v/>
      </c>
    </row>
    <row r="6" ht="15" customHeight="1">
      <c r="A6" t="inlineStr">
        <is>
          <t>A 3218-2022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44582</v>
      </c>
      <c r="E6" s="1" t="n">
        <v>46306</v>
      </c>
      <c r="F6" t="inlineStr">
        <is>
          <t>STOCKHOLMS LÄN</t>
        </is>
      </c>
      <c r="G6" t="inlineStr">
        <is>
          <t>EKERÖ</t>
        </is>
      </c>
      <c r="I6" t="n">
        <v>1.2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3</v>
      </c>
      <c r="R6" t="n">
        <v>2</v>
      </c>
      <c r="S6" t="n">
        <v>5</v>
      </c>
      <c r="T6" t="n">
        <v>8</v>
      </c>
      <c r="U6" t="n">
        <v>6</v>
      </c>
      <c r="V6" s="2" t="inlineStr">
        <is>
          <t>Bombmurkla
Gul lammticka
Fyrflikig jordstjärna
Kamjordstjärna
Blåbär</t>
        </is>
      </c>
      <c r="W6">
        <f>HYPERLINK("https://klasma.github.io/Logging_0125/artfynd/A 3218-2022 artfynd.xlsx", "A 3218-2022")</f>
        <v/>
      </c>
      <c r="X6">
        <f>HYPERLINK("https://klasma.github.io/Logging_0125/kartor/A 3218-2022 karta.png", "A 3218-2022")</f>
        <v/>
      </c>
      <c r="Y6">
        <f>HYPERLINK("https://klasma.github.io/Logging_0125/kartor_geotiff/A 3218-2022 georefererad karta.tif", "A 3218-2022")</f>
        <v/>
      </c>
      <c r="AA6">
        <f>HYPERLINK("https://klasma.github.io/Logging_0125/klagomål/A 3218-2022 FSC-klagomål.docx", "A 3218-2022")</f>
        <v/>
      </c>
      <c r="AB6">
        <f>HYPERLINK("https://klasma.github.io/Logging_0125/klagomålsmail/A 3218-2022 FSC-klagomål mail.docx", "A 3218-2022")</f>
        <v/>
      </c>
      <c r="AC6">
        <f>HYPERLINK("https://klasma.github.io/Logging_0125/tillsyn/A 3218-2022 tillsynsbegäran.docx", "A 3218-2022")</f>
        <v/>
      </c>
      <c r="AD6">
        <f>HYPERLINK("https://klasma.github.io/Logging_0125/tillsynsmail/A 3218-2022 tillsynsbegäran mail.docx", "A 3218-2022")</f>
        <v/>
      </c>
    </row>
    <row r="7" ht="15" customHeight="1">
      <c r="A7" t="inlineStr">
        <is>
          <t>A 17520-2026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46119</v>
      </c>
      <c r="E7" s="1" t="n">
        <v>46306</v>
      </c>
      <c r="F7" t="inlineStr">
        <is>
          <t>STOCKHOLMS LÄN</t>
        </is>
      </c>
      <c r="G7" t="inlineStr">
        <is>
          <t>EKERÖ</t>
        </is>
      </c>
      <c r="H7" t="inlineStr">
        <is>
          <t>Övriga statliga verk och myndigheter</t>
        </is>
      </c>
      <c r="I7" t="n">
        <v>2.2</v>
      </c>
      <c r="J7" t="n">
        <v>1</v>
      </c>
      <c r="K7" t="n">
        <v>1</v>
      </c>
      <c r="L7" t="n">
        <v>3</v>
      </c>
      <c r="M7" t="n">
        <v>1</v>
      </c>
      <c r="N7" t="n">
        <v>0</v>
      </c>
      <c r="O7" t="n">
        <v>0</v>
      </c>
      <c r="P7" t="n">
        <v>0</v>
      </c>
      <c r="Q7" t="n">
        <v>4</v>
      </c>
      <c r="R7" t="n">
        <v>1</v>
      </c>
      <c r="S7" t="n">
        <v>5</v>
      </c>
      <c r="T7" t="n">
        <v>5</v>
      </c>
      <c r="U7" t="n">
        <v>1</v>
      </c>
      <c r="V7" s="2" t="inlineStr">
        <is>
          <t>Läderbagge
Blekticka
Ekticka
Kandelabersvamp
Gulgrön kantmusseron</t>
        </is>
      </c>
      <c r="W7">
        <f>HYPERLINK("https://klasma.github.io/Logging_0125/artfynd/A 17520-2026 artfynd.xlsx", "A 17520-2026")</f>
        <v/>
      </c>
      <c r="X7">
        <f>HYPERLINK("https://klasma.github.io/Logging_0125/kartor/A 17520-2026 karta.png", "A 17520-2026")</f>
        <v/>
      </c>
      <c r="Y7">
        <f>HYPERLINK("https://klasma.github.io/Logging_0125/kartor_geotiff/A 17520-2026 georefererad karta.tif", "A 17520-2026")</f>
        <v/>
      </c>
      <c r="AA7">
        <f>HYPERLINK("https://klasma.github.io/Logging_0125/klagomål/A 17520-2026 FSC-klagomål.docx", "A 17520-2026")</f>
        <v/>
      </c>
      <c r="AB7">
        <f>HYPERLINK("https://klasma.github.io/Logging_0125/klagomålsmail/A 17520-2026 FSC-klagomål mail.docx", "A 17520-2026")</f>
        <v/>
      </c>
      <c r="AC7">
        <f>HYPERLINK("https://klasma.github.io/Logging_0125/tillsyn/A 17520-2026 tillsynsbegäran.docx", "A 17520-2026")</f>
        <v/>
      </c>
      <c r="AD7">
        <f>HYPERLINK("https://klasma.github.io/Logging_0125/tillsynsmail/A 17520-2026 tillsynsbegäran mail.docx", "A 17520-2026")</f>
        <v/>
      </c>
    </row>
    <row r="8" ht="15" customHeight="1">
      <c r="A8" t="inlineStr">
        <is>
          <t>A 32979-2026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46241</v>
      </c>
      <c r="E8" s="1" t="n">
        <v>46306</v>
      </c>
      <c r="F8" t="inlineStr">
        <is>
          <t>STOCKHOLMS LÄN</t>
        </is>
      </c>
      <c r="G8" t="inlineStr">
        <is>
          <t>EKERÖ</t>
        </is>
      </c>
      <c r="H8" t="inlineStr">
        <is>
          <t>Övriga statliga verk och myndigheter</t>
        </is>
      </c>
      <c r="I8" t="n">
        <v>6.2</v>
      </c>
      <c r="J8" t="n">
        <v>3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4</v>
      </c>
      <c r="T8" t="n">
        <v>13</v>
      </c>
      <c r="U8" t="n">
        <v>0</v>
      </c>
      <c r="V8" s="2" t="inlineStr">
        <is>
          <t>Mindre tåtelsmygare
Grönsiska
Kungsfågel
Svartvit flugsnappare</t>
        </is>
      </c>
      <c r="W8">
        <f>HYPERLINK("https://klasma.github.io/Logging_0125/artfynd/A 32979-2026 artfynd.xlsx", "A 32979-2026")</f>
        <v/>
      </c>
      <c r="X8">
        <f>HYPERLINK("https://klasma.github.io/Logging_0125/kartor/A 32979-2026 karta.png", "A 32979-2026")</f>
        <v/>
      </c>
      <c r="Y8">
        <f>HYPERLINK("https://klasma.github.io/Logging_0125/kartor_geotiff/A 32979-2026 georefererad karta.tif", "A 32979-2026")</f>
        <v/>
      </c>
      <c r="AA8">
        <f>HYPERLINK("https://klasma.github.io/Logging_0125/klagomål/A 32979-2026 FSC-klagomål.docx", "A 32979-2026")</f>
        <v/>
      </c>
      <c r="AB8">
        <f>HYPERLINK("https://klasma.github.io/Logging_0125/klagomålsmail/A 32979-2026 FSC-klagomål mail.docx", "A 32979-2026")</f>
        <v/>
      </c>
      <c r="AC8">
        <f>HYPERLINK("https://klasma.github.io/Logging_0125/tillsyn/A 32979-2026 tillsynsbegäran.docx", "A 32979-2026")</f>
        <v/>
      </c>
      <c r="AD8">
        <f>HYPERLINK("https://klasma.github.io/Logging_0125/tillsynsmail/A 32979-2026 tillsynsbegäran mail.docx", "A 32979-2026")</f>
        <v/>
      </c>
    </row>
    <row r="9" ht="15" customHeight="1">
      <c r="A9" t="inlineStr">
        <is>
          <t>A 11803-2022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44634</v>
      </c>
      <c r="E9" s="1" t="n">
        <v>46306</v>
      </c>
      <c r="F9" t="inlineStr">
        <is>
          <t>STOCKHOLMS LÄN</t>
        </is>
      </c>
      <c r="G9" t="inlineStr">
        <is>
          <t>EKERÖ</t>
        </is>
      </c>
      <c r="I9" t="n">
        <v>2.7</v>
      </c>
      <c r="J9" t="n">
        <v>1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3</v>
      </c>
      <c r="T9" t="n">
        <v>3</v>
      </c>
      <c r="U9" t="n">
        <v>0</v>
      </c>
      <c r="V9" s="2" t="inlineStr">
        <is>
          <t>Backklöver
Solvända
Gullviva</t>
        </is>
      </c>
      <c r="W9">
        <f>HYPERLINK("https://klasma.github.io/Logging_0125/artfynd/A 11803-2022 artfynd.xlsx", "A 11803-2022")</f>
        <v/>
      </c>
      <c r="X9">
        <f>HYPERLINK("https://klasma.github.io/Logging_0125/kartor/A 11803-2022 karta.png", "A 11803-2022")</f>
        <v/>
      </c>
      <c r="Y9">
        <f>HYPERLINK("https://klasma.github.io/Logging_0125/kartor_geotiff/A 11803-2022 georefererad karta.tif", "A 11803-2022")</f>
        <v/>
      </c>
      <c r="AA9">
        <f>HYPERLINK("https://klasma.github.io/Logging_0125/klagomål/A 11803-2022 FSC-klagomål.docx", "A 11803-2022")</f>
        <v/>
      </c>
      <c r="AB9">
        <f>HYPERLINK("https://klasma.github.io/Logging_0125/klagomålsmail/A 11803-2022 FSC-klagomål mail.docx", "A 11803-2022")</f>
        <v/>
      </c>
      <c r="AC9">
        <f>HYPERLINK("https://klasma.github.io/Logging_0125/tillsyn/A 11803-2022 tillsynsbegäran.docx", "A 11803-2022")</f>
        <v/>
      </c>
      <c r="AD9">
        <f>HYPERLINK("https://klasma.github.io/Logging_0125/tillsynsmail/A 11803-2022 tillsynsbegäran mail.docx", "A 11803-2022")</f>
        <v/>
      </c>
    </row>
    <row r="10" ht="15" customHeight="1">
      <c r="A10" t="inlineStr">
        <is>
          <t>A 13237-2023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45002</v>
      </c>
      <c r="E10" s="1" t="n">
        <v>46306</v>
      </c>
      <c r="F10" t="inlineStr">
        <is>
          <t>STOCKHOLMS LÄN</t>
        </is>
      </c>
      <c r="G10" t="inlineStr">
        <is>
          <t>EKERÖ</t>
        </is>
      </c>
      <c r="H10" t="inlineStr">
        <is>
          <t>Kommuner</t>
        </is>
      </c>
      <c r="I10" t="n">
        <v>9.300000000000001</v>
      </c>
      <c r="J10" t="n">
        <v>0</v>
      </c>
      <c r="K10" t="n">
        <v>2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3</v>
      </c>
      <c r="T10" t="n">
        <v>7</v>
      </c>
      <c r="U10" t="n">
        <v>0</v>
      </c>
      <c r="V10" s="2" t="inlineStr">
        <is>
          <t>Tallticka
Granbarkgnagare
Grönpyrola</t>
        </is>
      </c>
      <c r="W10">
        <f>HYPERLINK("https://klasma.github.io/Logging_0125/artfynd/A 13237-2023 artfynd.xlsx", "A 13237-2023")</f>
        <v/>
      </c>
      <c r="X10">
        <f>HYPERLINK("https://klasma.github.io/Logging_0125/kartor/A 13237-2023 karta.png", "A 13237-2023")</f>
        <v/>
      </c>
      <c r="Y10">
        <f>HYPERLINK("https://klasma.github.io/Logging_0125/kartor_geotiff/A 13237-2023 georefererad karta.tif", "A 13237-2023")</f>
        <v/>
      </c>
      <c r="AA10">
        <f>HYPERLINK("https://klasma.github.io/Logging_0125/klagomål/A 13237-2023 FSC-klagomål.docx", "A 13237-2023")</f>
        <v/>
      </c>
      <c r="AB10">
        <f>HYPERLINK("https://klasma.github.io/Logging_0125/klagomålsmail/A 13237-2023 FSC-klagomål mail.docx", "A 13237-2023")</f>
        <v/>
      </c>
      <c r="AC10">
        <f>HYPERLINK("https://klasma.github.io/Logging_0125/tillsyn/A 13237-2023 tillsynsbegäran.docx", "A 13237-2023")</f>
        <v/>
      </c>
      <c r="AD10">
        <f>HYPERLINK("https://klasma.github.io/Logging_0125/tillsynsmail/A 13237-2023 tillsynsbegäran mail.docx", "A 13237-2023")</f>
        <v/>
      </c>
    </row>
    <row r="11" ht="15" customHeight="1">
      <c r="A11" t="inlineStr">
        <is>
          <t>A 49131-2025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45937</v>
      </c>
      <c r="E11" s="1" t="n">
        <v>46306</v>
      </c>
      <c r="F11" t="inlineStr">
        <is>
          <t>STOCKHOLMS LÄN</t>
        </is>
      </c>
      <c r="G11" t="inlineStr">
        <is>
          <t>EKERÖ</t>
        </is>
      </c>
      <c r="I11" t="n">
        <v>0.9</v>
      </c>
      <c r="J11" t="n">
        <v>0</v>
      </c>
      <c r="K11" t="n">
        <v>0</v>
      </c>
      <c r="L11" t="n">
        <v>2</v>
      </c>
      <c r="M11" t="n">
        <v>1</v>
      </c>
      <c r="N11" t="n">
        <v>0</v>
      </c>
      <c r="O11" t="n">
        <v>0</v>
      </c>
      <c r="P11" t="n">
        <v>0</v>
      </c>
      <c r="Q11" t="n">
        <v>3</v>
      </c>
      <c r="R11" t="n">
        <v>1</v>
      </c>
      <c r="S11" t="n">
        <v>3</v>
      </c>
      <c r="T11" t="n">
        <v>3</v>
      </c>
      <c r="U11" t="n">
        <v>3</v>
      </c>
      <c r="V11" s="2" t="inlineStr">
        <is>
          <t>Jättemusseron
Motaggsvamp
Svartvit taggsvamp</t>
        </is>
      </c>
      <c r="W11">
        <f>HYPERLINK("https://klasma.github.io/Logging_0125/artfynd/A 49131-2025 artfynd.xlsx", "A 49131-2025")</f>
        <v/>
      </c>
      <c r="X11">
        <f>HYPERLINK("https://klasma.github.io/Logging_0125/kartor/A 49131-2025 karta.png", "A 49131-2025")</f>
        <v/>
      </c>
      <c r="Y11">
        <f>HYPERLINK("https://klasma.github.io/Logging_0125/kartor_geotiff/A 49131-2025 georefererad karta.tif", "A 49131-2025")</f>
        <v/>
      </c>
      <c r="AA11">
        <f>HYPERLINK("https://klasma.github.io/Logging_0125/klagomål/A 49131-2025 FSC-klagomål.docx", "A 49131-2025")</f>
        <v/>
      </c>
      <c r="AB11">
        <f>HYPERLINK("https://klasma.github.io/Logging_0125/klagomålsmail/A 49131-2025 FSC-klagomål mail.docx", "A 49131-2025")</f>
        <v/>
      </c>
      <c r="AC11">
        <f>HYPERLINK("https://klasma.github.io/Logging_0125/tillsyn/A 49131-2025 tillsynsbegäran.docx", "A 49131-2025")</f>
        <v/>
      </c>
      <c r="AD11">
        <f>HYPERLINK("https://klasma.github.io/Logging_0125/tillsynsmail/A 49131-2025 tillsynsbegäran mail.docx", "A 49131-2025")</f>
        <v/>
      </c>
    </row>
    <row r="12" ht="15" customHeight="1">
      <c r="A12" t="inlineStr">
        <is>
          <t>A 48839-2023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45209</v>
      </c>
      <c r="E12" s="1" t="n">
        <v>46306</v>
      </c>
      <c r="F12" t="inlineStr">
        <is>
          <t>STOCKHOLMS LÄN</t>
        </is>
      </c>
      <c r="G12" t="inlineStr">
        <is>
          <t>EKERÖ</t>
        </is>
      </c>
      <c r="H12" t="inlineStr">
        <is>
          <t>Kyrkan</t>
        </is>
      </c>
      <c r="I12" t="n">
        <v>6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2</v>
      </c>
      <c r="T12" t="n">
        <v>3</v>
      </c>
      <c r="U12" t="n">
        <v>0</v>
      </c>
      <c r="V12" s="2" t="inlineStr">
        <is>
          <t>Tallticka
Sångsvan</t>
        </is>
      </c>
      <c r="W12">
        <f>HYPERLINK("https://klasma.github.io/Logging_0125/artfynd/A 48839-2023 artfynd.xlsx", "A 48839-2023")</f>
        <v/>
      </c>
      <c r="X12">
        <f>HYPERLINK("https://klasma.github.io/Logging_0125/kartor/A 48839-2023 karta.png", "A 48839-2023")</f>
        <v/>
      </c>
      <c r="Y12">
        <f>HYPERLINK("https://klasma.github.io/Logging_0125/kartor_geotiff/A 48839-2023 georefererad karta.tif", "A 48839-2023")</f>
        <v/>
      </c>
      <c r="AA12">
        <f>HYPERLINK("https://klasma.github.io/Logging_0125/klagomål/A 48839-2023 FSC-klagomål.docx", "A 48839-2023")</f>
        <v/>
      </c>
      <c r="AB12">
        <f>HYPERLINK("https://klasma.github.io/Logging_0125/klagomålsmail/A 48839-2023 FSC-klagomål mail.docx", "A 48839-2023")</f>
        <v/>
      </c>
      <c r="AC12">
        <f>HYPERLINK("https://klasma.github.io/Logging_0125/tillsyn/A 48839-2023 tillsynsbegäran.docx", "A 48839-2023")</f>
        <v/>
      </c>
      <c r="AD12">
        <f>HYPERLINK("https://klasma.github.io/Logging_0125/tillsynsmail/A 48839-2023 tillsynsbegäran mail.docx", "A 48839-2023")</f>
        <v/>
      </c>
      <c r="AE12">
        <f>HYPERLINK("https://klasma.github.io/Logging_0125/fåglar/A 48839-2023 prioriterade fågelarter.docx", "A 48839-2023")</f>
        <v/>
      </c>
    </row>
    <row r="13" ht="15" customHeight="1">
      <c r="A13" t="inlineStr">
        <is>
          <t>S 2984-2023</t>
        </is>
      </c>
      <c r="B13" t="inlineStr">
        <is>
          <t>samrådsanmälan</t>
        </is>
      </c>
      <c r="C13" t="inlineStr">
        <is>
          <t>Åtgärd i nyckelbiotop</t>
        </is>
      </c>
      <c r="D13" s="1" t="n">
        <v>45170</v>
      </c>
      <c r="E13" s="1" t="n">
        <v>46306</v>
      </c>
      <c r="F13" t="inlineStr">
        <is>
          <t>STOCKHOLMS LÄN</t>
        </is>
      </c>
      <c r="G13" t="inlineStr">
        <is>
          <t>EKERÖ</t>
        </is>
      </c>
      <c r="I13" t="n">
        <v>4.4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3</v>
      </c>
      <c r="U13" t="n">
        <v>0</v>
      </c>
      <c r="V13" s="2" t="inlineStr">
        <is>
          <t>Ekticka
Grentaggsvamp</t>
        </is>
      </c>
      <c r="W13">
        <f>HYPERLINK("https://klasma.github.io/Logging_0125/artfynd/S 2984-2023 artfynd.xlsx", "S 2984-2023")</f>
        <v/>
      </c>
      <c r="X13">
        <f>HYPERLINK("https://klasma.github.io/Logging_0125/kartor/S 2984-2023 karta.png", "S 2984-2023")</f>
        <v/>
      </c>
      <c r="Y13">
        <f>HYPERLINK("https://klasma.github.io/Logging_0125/kartor_geotiff/S 2984-2023 georefererad karta.tif", "S 2984-2023")</f>
        <v/>
      </c>
      <c r="AA13">
        <f>HYPERLINK("https://klasma.github.io/Logging_0125/klagomål/S 2984-2023 FSC-klagomål.docx", "S 2984-2023")</f>
        <v/>
      </c>
      <c r="AB13">
        <f>HYPERLINK("https://klasma.github.io/Logging_0125/klagomålsmail/S 2984-2023 FSC-klagomål mail.docx", "S 2984-2023")</f>
        <v/>
      </c>
      <c r="AC13">
        <f>HYPERLINK("https://klasma.github.io/Logging_0125/tillsyn/S 2984-2023 tillsynsbegäran.docx", "S 2984-2023")</f>
        <v/>
      </c>
      <c r="AD13">
        <f>HYPERLINK("https://klasma.github.io/Logging_0125/tillsynsmail/S 2984-2023 tillsynsbegäran mail.docx", "S 2984-2023")</f>
        <v/>
      </c>
    </row>
    <row r="14" ht="15" customHeight="1">
      <c r="A14" t="inlineStr">
        <is>
          <t>A 13891-2022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44646</v>
      </c>
      <c r="E14" s="1" t="n">
        <v>46306</v>
      </c>
      <c r="F14" t="inlineStr">
        <is>
          <t>STOCKHOLMS LÄN</t>
        </is>
      </c>
      <c r="G14" t="inlineStr">
        <is>
          <t>EKERÖ</t>
        </is>
      </c>
      <c r="I14" t="n">
        <v>2.3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3</v>
      </c>
      <c r="U14" t="n">
        <v>0</v>
      </c>
      <c r="V14" s="2" t="inlineStr">
        <is>
          <t>Granbarkgnagare</t>
        </is>
      </c>
      <c r="W14">
        <f>HYPERLINK("https://klasma.github.io/Logging_0125/artfynd/A 13891-2022 artfynd.xlsx", "A 13891-2022")</f>
        <v/>
      </c>
      <c r="X14">
        <f>HYPERLINK("https://klasma.github.io/Logging_0125/kartor/A 13891-2022 karta.png", "A 13891-2022")</f>
        <v/>
      </c>
      <c r="Y14">
        <f>HYPERLINK("https://klasma.github.io/Logging_0125/kartor_geotiff/A 13891-2022 georefererad karta.tif", "A 13891-2022")</f>
        <v/>
      </c>
      <c r="AA14">
        <f>HYPERLINK("https://klasma.github.io/Logging_0125/klagomål/A 13891-2022 FSC-klagomål.docx", "A 13891-2022")</f>
        <v/>
      </c>
      <c r="AB14">
        <f>HYPERLINK("https://klasma.github.io/Logging_0125/klagomålsmail/A 13891-2022 FSC-klagomål mail.docx", "A 13891-2022")</f>
        <v/>
      </c>
      <c r="AC14">
        <f>HYPERLINK("https://klasma.github.io/Logging_0125/tillsyn/A 13891-2022 tillsynsbegäran.docx", "A 13891-2022")</f>
        <v/>
      </c>
      <c r="AD14">
        <f>HYPERLINK("https://klasma.github.io/Logging_0125/tillsynsmail/A 13891-2022 tillsynsbegäran mail.docx", "A 13891-2022")</f>
        <v/>
      </c>
    </row>
    <row r="15" ht="15" customHeight="1">
      <c r="A15" t="inlineStr">
        <is>
          <t>A 3221-2022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44582</v>
      </c>
      <c r="E15" s="1" t="n">
        <v>46306</v>
      </c>
      <c r="F15" t="inlineStr">
        <is>
          <t>STOCKHOLMS LÄN</t>
        </is>
      </c>
      <c r="G15" t="inlineStr">
        <is>
          <t>EKERÖ</t>
        </is>
      </c>
      <c r="I15" t="n">
        <v>0.5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s="2" t="inlineStr">
        <is>
          <t>Blåmossa</t>
        </is>
      </c>
      <c r="W15">
        <f>HYPERLINK("https://klasma.github.io/Logging_0125/artfynd/A 3221-2022 artfynd.xlsx", "A 3221-2022")</f>
        <v/>
      </c>
      <c r="X15">
        <f>HYPERLINK("https://klasma.github.io/Logging_0125/kartor/A 3221-2022 karta.png", "A 3221-2022")</f>
        <v/>
      </c>
      <c r="Y15">
        <f>HYPERLINK("https://klasma.github.io/Logging_0125/kartor_geotiff/A 3221-2022 georefererad karta.tif", "A 3221-2022")</f>
        <v/>
      </c>
      <c r="AA15">
        <f>HYPERLINK("https://klasma.github.io/Logging_0125/klagomål/A 3221-2022 FSC-klagomål.docx", "A 3221-2022")</f>
        <v/>
      </c>
      <c r="AB15">
        <f>HYPERLINK("https://klasma.github.io/Logging_0125/klagomålsmail/A 3221-2022 FSC-klagomål mail.docx", "A 3221-2022")</f>
        <v/>
      </c>
      <c r="AC15">
        <f>HYPERLINK("https://klasma.github.io/Logging_0125/tillsyn/A 3221-2022 tillsynsbegäran.docx", "A 3221-2022")</f>
        <v/>
      </c>
      <c r="AD15">
        <f>HYPERLINK("https://klasma.github.io/Logging_0125/tillsynsmail/A 3221-2022 tillsynsbegäran mail.docx", "A 3221-2022")</f>
        <v/>
      </c>
    </row>
    <row r="16" ht="15" customHeight="1">
      <c r="A16" t="inlineStr">
        <is>
          <t>A 1793-2025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45671</v>
      </c>
      <c r="E16" s="1" t="n">
        <v>46306</v>
      </c>
      <c r="F16" t="inlineStr">
        <is>
          <t>STOCKHOLMS LÄN</t>
        </is>
      </c>
      <c r="G16" t="inlineStr">
        <is>
          <t>EKERÖ</t>
        </is>
      </c>
      <c r="I16" t="n">
        <v>1.7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17</v>
      </c>
      <c r="U16" t="n">
        <v>0</v>
      </c>
      <c r="V16" s="2" t="inlineStr">
        <is>
          <t>Mistel</t>
        </is>
      </c>
      <c r="W16">
        <f>HYPERLINK("https://klasma.github.io/Logging_0125/artfynd/A 1793-2025 artfynd.xlsx", "A 1793-2025")</f>
        <v/>
      </c>
      <c r="X16">
        <f>HYPERLINK("https://klasma.github.io/Logging_0125/kartor/A 1793-2025 karta.png", "A 1793-2025")</f>
        <v/>
      </c>
      <c r="Y16">
        <f>HYPERLINK("https://klasma.github.io/Logging_0125/kartor_geotiff/A 1793-2025 georefererad karta.tif", "A 1793-2025")</f>
        <v/>
      </c>
      <c r="AA16">
        <f>HYPERLINK("https://klasma.github.io/Logging_0125/klagomål/A 1793-2025 FSC-klagomål.docx", "A 1793-2025")</f>
        <v/>
      </c>
      <c r="AB16">
        <f>HYPERLINK("https://klasma.github.io/Logging_0125/klagomålsmail/A 1793-2025 FSC-klagomål mail.docx", "A 1793-2025")</f>
        <v/>
      </c>
      <c r="AC16">
        <f>HYPERLINK("https://klasma.github.io/Logging_0125/tillsyn/A 1793-2025 tillsynsbegäran.docx", "A 1793-2025")</f>
        <v/>
      </c>
      <c r="AD16">
        <f>HYPERLINK("https://klasma.github.io/Logging_0125/tillsynsmail/A 1793-2025 tillsynsbegäran mail.docx", "A 1793-2025")</f>
        <v/>
      </c>
    </row>
    <row r="17" ht="15" customHeight="1">
      <c r="A17" t="inlineStr">
        <is>
          <t>A 13794-2023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45007</v>
      </c>
      <c r="E17" s="1" t="n">
        <v>46306</v>
      </c>
      <c r="F17" t="inlineStr">
        <is>
          <t>STOCKHOLMS LÄN</t>
        </is>
      </c>
      <c r="G17" t="inlineStr">
        <is>
          <t>EKERÖ</t>
        </is>
      </c>
      <c r="I17" t="n">
        <v>4.8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s="2" t="inlineStr">
        <is>
          <t>Tallticka</t>
        </is>
      </c>
      <c r="W17">
        <f>HYPERLINK("https://klasma.github.io/Logging_0125/artfynd/A 13794-2023 artfynd.xlsx", "A 13794-2023")</f>
        <v/>
      </c>
      <c r="X17">
        <f>HYPERLINK("https://klasma.github.io/Logging_0125/kartor/A 13794-2023 karta.png", "A 13794-2023")</f>
        <v/>
      </c>
      <c r="Y17">
        <f>HYPERLINK("https://klasma.github.io/Logging_0125/kartor_geotiff/A 13794-2023 georefererad karta.tif", "A 13794-2023")</f>
        <v/>
      </c>
      <c r="AA17">
        <f>HYPERLINK("https://klasma.github.io/Logging_0125/klagomål/A 13794-2023 FSC-klagomål.docx", "A 13794-2023")</f>
        <v/>
      </c>
      <c r="AB17">
        <f>HYPERLINK("https://klasma.github.io/Logging_0125/klagomålsmail/A 13794-2023 FSC-klagomål mail.docx", "A 13794-2023")</f>
        <v/>
      </c>
      <c r="AC17">
        <f>HYPERLINK("https://klasma.github.io/Logging_0125/tillsyn/A 13794-2023 tillsynsbegäran.docx", "A 13794-2023")</f>
        <v/>
      </c>
      <c r="AD17">
        <f>HYPERLINK("https://klasma.github.io/Logging_0125/tillsynsmail/A 13794-2023 tillsynsbegäran mail.docx", "A 13794-2023")</f>
        <v/>
      </c>
    </row>
    <row r="18" ht="15" customHeight="1">
      <c r="A18" t="inlineStr">
        <is>
          <t>A 2533-2026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46037</v>
      </c>
      <c r="E18" s="1" t="n">
        <v>46306</v>
      </c>
      <c r="F18" t="inlineStr">
        <is>
          <t>STOCKHOLMS LÄN</t>
        </is>
      </c>
      <c r="G18" t="inlineStr">
        <is>
          <t>EKERÖ</t>
        </is>
      </c>
      <c r="I18" t="n">
        <v>1.4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Revlummer</t>
        </is>
      </c>
      <c r="W18">
        <f>HYPERLINK("https://klasma.github.io/Logging_0125/artfynd/A 2533-2026 artfynd.xlsx", "A 2533-2026")</f>
        <v/>
      </c>
      <c r="X18">
        <f>HYPERLINK("https://klasma.github.io/Logging_0125/kartor/A 2533-2026 karta.png", "A 2533-2026")</f>
        <v/>
      </c>
      <c r="Y18">
        <f>HYPERLINK("https://klasma.github.io/Logging_0125/kartor_geotiff/A 2533-2026 georefererad karta.tif", "A 2533-2026")</f>
        <v/>
      </c>
      <c r="AA18">
        <f>HYPERLINK("https://klasma.github.io/Logging_0125/klagomål/A 2533-2026 FSC-klagomål.docx", "A 2533-2026")</f>
        <v/>
      </c>
      <c r="AB18">
        <f>HYPERLINK("https://klasma.github.io/Logging_0125/klagomålsmail/A 2533-2026 FSC-klagomål mail.docx", "A 2533-2026")</f>
        <v/>
      </c>
      <c r="AC18">
        <f>HYPERLINK("https://klasma.github.io/Logging_0125/tillsyn/A 2533-2026 tillsynsbegäran.docx", "A 2533-2026")</f>
        <v/>
      </c>
      <c r="AD18">
        <f>HYPERLINK("https://klasma.github.io/Logging_0125/tillsynsmail/A 2533-2026 tillsynsbegäran mail.docx", "A 2533-2026")</f>
        <v/>
      </c>
    </row>
    <row r="19" ht="15" customHeight="1">
      <c r="A19" t="inlineStr">
        <is>
          <t>A 16242-2022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44670</v>
      </c>
      <c r="E19" s="1" t="n">
        <v>46306</v>
      </c>
      <c r="F19" t="inlineStr">
        <is>
          <t>STOCKHOLMS LÄN</t>
        </is>
      </c>
      <c r="G19" t="inlineStr">
        <is>
          <t>EKERÖ</t>
        </is>
      </c>
      <c r="I19" t="n">
        <v>0.6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36063-2022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44802</v>
      </c>
      <c r="E20" s="1" t="n">
        <v>46306</v>
      </c>
      <c r="F20" t="inlineStr">
        <is>
          <t>STOCKHOLMS LÄN</t>
        </is>
      </c>
      <c r="G20" t="inlineStr">
        <is>
          <t>EKERÖ</t>
        </is>
      </c>
      <c r="I20" t="n">
        <v>2.4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50184-2023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45208</v>
      </c>
      <c r="E21" s="1" t="n">
        <v>46306</v>
      </c>
      <c r="F21" t="inlineStr">
        <is>
          <t>STOCKHOLMS LÄN</t>
        </is>
      </c>
      <c r="G21" t="inlineStr">
        <is>
          <t>EKERÖ</t>
        </is>
      </c>
      <c r="I21" t="n">
        <v>10.8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3219-2022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44582</v>
      </c>
      <c r="E22" s="1" t="n">
        <v>46306</v>
      </c>
      <c r="F22" t="inlineStr">
        <is>
          <t>STOCKHOLMS LÄN</t>
        </is>
      </c>
      <c r="G22" t="inlineStr">
        <is>
          <t>EKERÖ</t>
        </is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60755-2024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45644</v>
      </c>
      <c r="E23" s="1" t="n">
        <v>46306</v>
      </c>
      <c r="F23" t="inlineStr">
        <is>
          <t>STOCKHOLMS LÄN</t>
        </is>
      </c>
      <c r="G23" t="inlineStr">
        <is>
          <t>EKERÖ</t>
        </is>
      </c>
      <c r="I23" t="n">
        <v>2.1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55724-2024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45622</v>
      </c>
      <c r="E24" s="1" t="n">
        <v>46306</v>
      </c>
      <c r="F24" t="inlineStr">
        <is>
          <t>STOCKHOLMS LÄN</t>
        </is>
      </c>
      <c r="G24" t="inlineStr">
        <is>
          <t>EKERÖ</t>
        </is>
      </c>
      <c r="I24" t="n">
        <v>0.5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56002-2024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45623</v>
      </c>
      <c r="E25" s="1" t="n">
        <v>46306</v>
      </c>
      <c r="F25" t="inlineStr">
        <is>
          <t>STOCKHOLMS LÄN</t>
        </is>
      </c>
      <c r="G25" t="inlineStr">
        <is>
          <t>EKERÖ</t>
        </is>
      </c>
      <c r="I25" t="n">
        <v>3.4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35955-2023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45148</v>
      </c>
      <c r="E26" s="1" t="n">
        <v>46306</v>
      </c>
      <c r="F26" t="inlineStr">
        <is>
          <t>STOCKHOLMS LÄN</t>
        </is>
      </c>
      <c r="G26" t="inlineStr">
        <is>
          <t>EKERÖ</t>
        </is>
      </c>
      <c r="I26" t="n">
        <v>1.1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61217-2024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45645</v>
      </c>
      <c r="E27" s="1" t="n">
        <v>46306</v>
      </c>
      <c r="F27" t="inlineStr">
        <is>
          <t>STOCKHOLMS LÄN</t>
        </is>
      </c>
      <c r="G27" t="inlineStr">
        <is>
          <t>EKERÖ</t>
        </is>
      </c>
      <c r="I27" t="n">
        <v>0.8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37245-2025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45876</v>
      </c>
      <c r="E28" s="1" t="n">
        <v>46306</v>
      </c>
      <c r="F28" t="inlineStr">
        <is>
          <t>STOCKHOLMS LÄN</t>
        </is>
      </c>
      <c r="G28" t="inlineStr">
        <is>
          <t>EKERÖ</t>
        </is>
      </c>
      <c r="I28" t="n">
        <v>1.1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3222-2022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44582</v>
      </c>
      <c r="E29" s="1" t="n">
        <v>46306</v>
      </c>
      <c r="F29" t="inlineStr">
        <is>
          <t>STOCKHOLMS LÄN</t>
        </is>
      </c>
      <c r="G29" t="inlineStr">
        <is>
          <t>EKERÖ</t>
        </is>
      </c>
      <c r="I29" t="n">
        <v>1.8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63378-2025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46010</v>
      </c>
      <c r="E30" s="1" t="n">
        <v>46306</v>
      </c>
      <c r="F30" t="inlineStr">
        <is>
          <t>STOCKHOLMS LÄN</t>
        </is>
      </c>
      <c r="G30" t="inlineStr">
        <is>
          <t>EKERÖ</t>
        </is>
      </c>
      <c r="I30" t="n">
        <v>4.8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60728-2022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44913</v>
      </c>
      <c r="E31" s="1" t="n">
        <v>46306</v>
      </c>
      <c r="F31" t="inlineStr">
        <is>
          <t>STOCKHOLMS LÄN</t>
        </is>
      </c>
      <c r="G31" t="inlineStr">
        <is>
          <t>EKERÖ</t>
        </is>
      </c>
      <c r="I31" t="n">
        <v>1.2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2535-2026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46037</v>
      </c>
      <c r="E32" s="1" t="n">
        <v>46306</v>
      </c>
      <c r="F32" t="inlineStr">
        <is>
          <t>STOCKHOLMS LÄN</t>
        </is>
      </c>
      <c r="G32" t="inlineStr">
        <is>
          <t>EKERÖ</t>
        </is>
      </c>
      <c r="I32" t="n">
        <v>1.6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20399-2026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46139</v>
      </c>
      <c r="E33" s="1" t="n">
        <v>46306</v>
      </c>
      <c r="F33" t="inlineStr">
        <is>
          <t>STOCKHOLMS LÄN</t>
        </is>
      </c>
      <c r="G33" t="inlineStr">
        <is>
          <t>EKERÖ</t>
        </is>
      </c>
      <c r="I33" t="n">
        <v>0.9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20398-2026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46139</v>
      </c>
      <c r="E34" s="1" t="n">
        <v>46306</v>
      </c>
      <c r="F34" t="inlineStr">
        <is>
          <t>STOCKHOLMS LÄN</t>
        </is>
      </c>
      <c r="G34" t="inlineStr">
        <is>
          <t>EKERÖ</t>
        </is>
      </c>
      <c r="I34" t="n">
        <v>2.4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20898-2026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46142</v>
      </c>
      <c r="E35" s="1" t="n">
        <v>46306</v>
      </c>
      <c r="F35" t="inlineStr">
        <is>
          <t>STOCKHOLMS LÄN</t>
        </is>
      </c>
      <c r="G35" t="inlineStr">
        <is>
          <t>EKERÖ</t>
        </is>
      </c>
      <c r="I35" t="n">
        <v>3.6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34073-2025</t>
        </is>
      </c>
      <c r="B36" t="inlineStr">
        <is>
          <t>avverkningsanmälan</t>
        </is>
      </c>
      <c r="C36" t="inlineStr">
        <is>
          <t>Avverkning för att bevara och utveckla /försöksver</t>
        </is>
      </c>
      <c r="D36" s="1" t="n">
        <v>45845</v>
      </c>
      <c r="E36" s="1" t="n">
        <v>46306</v>
      </c>
      <c r="F36" t="inlineStr">
        <is>
          <t>STOCKHOLMS LÄN</t>
        </is>
      </c>
      <c r="G36" t="inlineStr">
        <is>
          <t>EKERÖ</t>
        </is>
      </c>
      <c r="I36" t="n">
        <v>2.9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33154-2026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46244</v>
      </c>
      <c r="E37" s="1" t="n">
        <v>46306</v>
      </c>
      <c r="F37" t="inlineStr">
        <is>
          <t>STOCKHOLMS LÄN</t>
        </is>
      </c>
      <c r="G37" t="inlineStr">
        <is>
          <t>EKERÖ</t>
        </is>
      </c>
      <c r="H37" t="inlineStr">
        <is>
          <t>Övriga statliga verk och myndigheter</t>
        </is>
      </c>
      <c r="I37" t="n">
        <v>3.5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41699-2026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46301</v>
      </c>
      <c r="E38" s="1" t="n">
        <v>46306</v>
      </c>
      <c r="F38" t="inlineStr">
        <is>
          <t>STOCKHOLMS LÄN</t>
        </is>
      </c>
      <c r="G38" t="inlineStr">
        <is>
          <t>EKERÖ</t>
        </is>
      </c>
      <c r="H38" t="inlineStr">
        <is>
          <t>Övriga statliga verk och myndigheter</t>
        </is>
      </c>
      <c r="I38" t="n">
        <v>1.6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>
      <c r="A39" t="inlineStr">
        <is>
          <t>S 1390-2026</t>
        </is>
      </c>
      <c r="B39" t="inlineStr">
        <is>
          <t>samrådsanmälan</t>
        </is>
      </c>
      <c r="C39" t="inlineStr">
        <is>
          <t>Annan skogsbruksåtgärd</t>
        </is>
      </c>
      <c r="D39" s="1" t="n">
        <v>46153</v>
      </c>
      <c r="E39" s="1" t="n">
        <v>46306</v>
      </c>
      <c r="F39" t="inlineStr">
        <is>
          <t>STOCKHOLMS LÄN</t>
        </is>
      </c>
      <c r="G39" t="inlineStr">
        <is>
          <t>EKERÖ</t>
        </is>
      </c>
      <c r="I39" t="n">
        <v>0.7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2026-10-11T02:02:46Z</dcterms:created>
  <dcterms:modified xmlns:dcterms="http://purl.org/dc/terms/" xmlns:xsi="http://www.w3.org/2001/XMLSchema-instance" xsi:type="dcterms:W3CDTF">2026-10-11T02:02:46Z</dcterms:modified>
</cp:coreProperties>
</file>