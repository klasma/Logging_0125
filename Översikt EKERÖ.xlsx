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46128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46128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46128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46128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46128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46128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46128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46128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Ängsvaxing agg.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46128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46128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46128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46128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1793-2025</t>
        </is>
      </c>
      <c r="B14" s="1" t="n">
        <v>45671</v>
      </c>
      <c r="C14" s="1" t="n">
        <v>46128</v>
      </c>
      <c r="D14" t="inlineStr">
        <is>
          <t>STOCKHOLMS LÄN</t>
        </is>
      </c>
      <c r="E14" t="inlineStr">
        <is>
          <t>EKERÖ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Mistel</t>
        </is>
      </c>
      <c r="S14">
        <f>HYPERLINK("https://klasma.github.io/Logging_0125/artfynd/A 1793-2025 artfynd.xlsx", "A 1793-2025")</f>
        <v/>
      </c>
      <c r="T14">
        <f>HYPERLINK("https://klasma.github.io/Logging_0125/kartor/A 1793-2025 karta.png", "A 1793-2025")</f>
        <v/>
      </c>
      <c r="V14">
        <f>HYPERLINK("https://klasma.github.io/Logging_0125/klagomål/A 1793-2025 FSC-klagomål.docx", "A 1793-2025")</f>
        <v/>
      </c>
      <c r="W14">
        <f>HYPERLINK("https://klasma.github.io/Logging_0125/klagomålsmail/A 1793-2025 FSC-klagomål mail.docx", "A 1793-2025")</f>
        <v/>
      </c>
      <c r="X14">
        <f>HYPERLINK("https://klasma.github.io/Logging_0125/tillsyn/A 1793-2025 tillsynsbegäran.docx", "A 1793-2025")</f>
        <v/>
      </c>
      <c r="Y14">
        <f>HYPERLINK("https://klasma.github.io/Logging_0125/tillsynsmail/A 1793-2025 tillsynsbegäran mail.docx", "A 1793-2025")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46128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46128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17520-2026</t>
        </is>
      </c>
      <c r="B17" s="1" t="n">
        <v>46119</v>
      </c>
      <c r="C17" s="1" t="n">
        <v>46128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Gulgrön kantmusseron</t>
        </is>
      </c>
      <c r="S17">
        <f>HYPERLINK("https://klasma.github.io/Logging_0125/artfynd/A 17520-2026 artfynd.xlsx", "A 17520-2026")</f>
        <v/>
      </c>
      <c r="T17">
        <f>HYPERLINK("https://klasma.github.io/Logging_0125/kartor/A 17520-2026 karta.png", "A 17520-2026")</f>
        <v/>
      </c>
      <c r="V17">
        <f>HYPERLINK("https://klasma.github.io/Logging_0125/klagomål/A 17520-2026 FSC-klagomål.docx", "A 17520-2026")</f>
        <v/>
      </c>
      <c r="W17">
        <f>HYPERLINK("https://klasma.github.io/Logging_0125/klagomålsmail/A 17520-2026 FSC-klagomål mail.docx", "A 17520-2026")</f>
        <v/>
      </c>
      <c r="X17">
        <f>HYPERLINK("https://klasma.github.io/Logging_0125/tillsyn/A 17520-2026 tillsynsbegäran.docx", "A 17520-2026")</f>
        <v/>
      </c>
      <c r="Y17">
        <f>HYPERLINK("https://klasma.github.io/Logging_0125/tillsynsmail/A 17520-2026 tillsynsbegäran mail.docx", "A 17520-2026")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46128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46128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46128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46128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48839-2023</t>
        </is>
      </c>
      <c r="B22" s="1" t="n">
        <v>45209</v>
      </c>
      <c r="C22" s="1" t="n">
        <v>46128</v>
      </c>
      <c r="D22" t="inlineStr">
        <is>
          <t>STOCKHOLMS LÄN</t>
        </is>
      </c>
      <c r="E22" t="inlineStr">
        <is>
          <t>EKERÖ</t>
        </is>
      </c>
      <c r="F22" t="inlineStr">
        <is>
          <t>Kyrkan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61217-2024</t>
        </is>
      </c>
      <c r="B23" s="1" t="n">
        <v>45645.65825231482</v>
      </c>
      <c r="C23" s="1" t="n">
        <v>46128</v>
      </c>
      <c r="D23" t="inlineStr">
        <is>
          <t>STOCKHOLMS LÄN</t>
        </is>
      </c>
      <c r="E23" t="inlineStr">
        <is>
          <t>EKERÖ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46128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46128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46128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3219-2022</t>
        </is>
      </c>
      <c r="B27" s="1" t="n">
        <v>44582</v>
      </c>
      <c r="C27" s="1" t="n">
        <v>46128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3221-2022</t>
        </is>
      </c>
      <c r="B28" s="1" t="n">
        <v>44582.80788194444</v>
      </c>
      <c r="C28" s="1" t="n">
        <v>46128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45644.56945601852</v>
      </c>
      <c r="C29" s="1" t="n">
        <v>46128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46128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46128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46128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45852.35094907408</v>
      </c>
      <c r="C33" s="1" t="n">
        <v>46128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37245-2025</t>
        </is>
      </c>
      <c r="B34" s="1" t="n">
        <v>45876.39396990741</v>
      </c>
      <c r="C34" s="1" t="n">
        <v>46128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46128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46128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2533-2026</t>
        </is>
      </c>
      <c r="B37" s="1" t="n">
        <v>46037</v>
      </c>
      <c r="C37" s="1" t="n">
        <v>46128</v>
      </c>
      <c r="D37" t="inlineStr">
        <is>
          <t>STOCKHOLMS LÄN</t>
        </is>
      </c>
      <c r="E37" t="inlineStr">
        <is>
          <t>EKERÖ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50184-2023</t>
        </is>
      </c>
      <c r="B38" s="1" t="n">
        <v>45208</v>
      </c>
      <c r="C38" s="1" t="n">
        <v>46128</v>
      </c>
      <c r="D38" t="inlineStr">
        <is>
          <t>STOCKHOLMS LÄN</t>
        </is>
      </c>
      <c r="E38" t="inlineStr">
        <is>
          <t>EKERÖ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2535-2026</t>
        </is>
      </c>
      <c r="B39" s="1" t="n">
        <v>46037.4490625</v>
      </c>
      <c r="C39" s="1" t="n">
        <v>46128</v>
      </c>
      <c r="D39" t="inlineStr">
        <is>
          <t>STOCKHOLMS LÄN</t>
        </is>
      </c>
      <c r="E39" t="inlineStr">
        <is>
          <t>EKERÖ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60728-2022</t>
        </is>
      </c>
      <c r="B40" s="1" t="n">
        <v>44913</v>
      </c>
      <c r="C40" s="1" t="n">
        <v>46128</v>
      </c>
      <c r="D40" t="inlineStr">
        <is>
          <t>STOCKHOLMS LÄN</t>
        </is>
      </c>
      <c r="E40" t="inlineStr">
        <is>
          <t>EKERÖ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2026-04-16T10:23:32Z</dcterms:created>
  <dcterms:modified xmlns:dcterms="http://purl.org/dc/terms/" xmlns:xsi="http://www.w3.org/2001/XMLSchema-instance" xsi:type="dcterms:W3CDTF">2026-04-16T10:23:32Z</dcterms:modified>
</cp:coreProperties>
</file>