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46193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  <c r="Z3">
        <f>HYPERLINK("https://klasma.github.io/Logging_0125/fåglar/A 8216-2023 prioriterade fågelarter.docx",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46193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46193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46193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46193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46193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46193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s="1" t="n">
        <v>45209</v>
      </c>
      <c r="C10" s="1" t="n">
        <v>46193</v>
      </c>
      <c r="D10" t="inlineStr">
        <is>
          <t>STOCKHOLMS LÄN</t>
        </is>
      </c>
      <c r="E10" t="inlineStr">
        <is>
          <t>EKERÖ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Sångsvan</t>
        </is>
      </c>
      <c r="S10">
        <f>HYPERLINK("https://klasma.github.io/Logging_0125/artfynd/A 48839-2023 artfynd.xlsx", "A 48839-2023")</f>
        <v/>
      </c>
      <c r="T10">
        <f>HYPERLINK("https://klasma.github.io/Logging_0125/kartor/A 48839-2023 karta.png", "A 48839-2023")</f>
        <v/>
      </c>
      <c r="V10">
        <f>HYPERLINK("https://klasma.github.io/Logging_0125/klagomål/A 48839-2023 FSC-klagomål.docx", "A 48839-2023")</f>
        <v/>
      </c>
      <c r="W10">
        <f>HYPERLINK("https://klasma.github.io/Logging_0125/klagomålsmail/A 48839-2023 FSC-klagomål mail.docx", "A 48839-2023")</f>
        <v/>
      </c>
      <c r="X10">
        <f>HYPERLINK("https://klasma.github.io/Logging_0125/tillsyn/A 48839-2023 tillsynsbegäran.docx", "A 48839-2023")</f>
        <v/>
      </c>
      <c r="Y10">
        <f>HYPERLINK("https://klasma.github.io/Logging_0125/tillsynsmail/A 48839-2023 tillsynsbegäran mail.docx", "A 48839-2023")</f>
        <v/>
      </c>
      <c r="Z10">
        <f>HYPERLINK("https://klasma.github.io/Logging_0125/fåglar/A 48839-2023 prioriterade fågelarter.docx", "A 48839-2023")</f>
        <v/>
      </c>
    </row>
    <row r="11" ht="15" customHeight="1">
      <c r="A11" t="inlineStr">
        <is>
          <t>A 48988-2025</t>
        </is>
      </c>
      <c r="B11" s="1" t="n">
        <v>45936</v>
      </c>
      <c r="C11" s="1" t="n">
        <v>46193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Ängsvaxing agg.</t>
        </is>
      </c>
      <c r="S11">
        <f>HYPERLINK("https://klasma.github.io/Logging_0125/artfynd/A 48988-2025 artfynd.xlsx", "A 48988-2025")</f>
        <v/>
      </c>
      <c r="T11">
        <f>HYPERLINK("https://klasma.github.io/Logging_0125/kartor/A 48988-2025 karta.png", "A 48988-2025")</f>
        <v/>
      </c>
      <c r="V11">
        <f>HYPERLINK("https://klasma.github.io/Logging_0125/klagomål/A 48988-2025 FSC-klagomål.docx", "A 48988-2025")</f>
        <v/>
      </c>
      <c r="W11">
        <f>HYPERLINK("https://klasma.github.io/Logging_0125/klagomålsmail/A 48988-2025 FSC-klagomål mail.docx", "A 48988-2025")</f>
        <v/>
      </c>
      <c r="X11">
        <f>HYPERLINK("https://klasma.github.io/Logging_0125/tillsyn/A 48988-2025 tillsynsbegäran.docx", "A 48988-2025")</f>
        <v/>
      </c>
      <c r="Y11">
        <f>HYPERLINK("https://klasma.github.io/Logging_0125/tillsynsmail/A 48988-2025 tillsynsbegäran mail.docx", "A 48988-2025")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46193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3221-2022</t>
        </is>
      </c>
      <c r="B14" s="1" t="n">
        <v>44582</v>
      </c>
      <c r="C14" s="1" t="n">
        <v>46193</v>
      </c>
      <c r="D14" t="inlineStr">
        <is>
          <t>STOCKHOLMS LÄN</t>
        </is>
      </c>
      <c r="E14" t="inlineStr">
        <is>
          <t>EKERÖ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HYPERLINK("https://klasma.github.io/Logging_0125/artfynd/A 3221-2022 artfynd.xlsx", "A 3221-2022")</f>
        <v/>
      </c>
      <c r="T14">
        <f>HYPERLINK("https://klasma.github.io/Logging_0125/kartor/A 3221-2022 karta.png", "A 3221-2022")</f>
        <v/>
      </c>
      <c r="V14">
        <f>HYPERLINK("https://klasma.github.io/Logging_0125/klagomål/A 3221-2022 FSC-klagomål.docx", "A 3221-2022")</f>
        <v/>
      </c>
      <c r="W14">
        <f>HYPERLINK("https://klasma.github.io/Logging_0125/klagomålsmail/A 3221-2022 FSC-klagomål mail.docx", "A 3221-2022")</f>
        <v/>
      </c>
      <c r="X14">
        <f>HYPERLINK("https://klasma.github.io/Logging_0125/tillsyn/A 3221-2022 tillsynsbegäran.docx", "A 3221-2022")</f>
        <v/>
      </c>
      <c r="Y14">
        <f>HYPERLINK("https://klasma.github.io/Logging_0125/tillsynsmail/A 3221-2022 tillsynsbegäran mail.docx", "A 3221-2022")</f>
        <v/>
      </c>
    </row>
    <row r="15" ht="15" customHeight="1">
      <c r="A15" t="inlineStr">
        <is>
          <t>A 2533-2026</t>
        </is>
      </c>
      <c r="B15" s="1" t="n">
        <v>46037</v>
      </c>
      <c r="C15" s="1" t="n">
        <v>46193</v>
      </c>
      <c r="D15" t="inlineStr">
        <is>
          <t>STOCKHOLMS LÄN</t>
        </is>
      </c>
      <c r="E15" t="inlineStr">
        <is>
          <t>EKERÖ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HYPERLINK("https://klasma.github.io/Logging_0125/artfynd/A 2533-2026 artfynd.xlsx", "A 2533-2026")</f>
        <v/>
      </c>
      <c r="T15">
        <f>HYPERLINK("https://klasma.github.io/Logging_0125/kartor/A 2533-2026 karta.png", "A 2533-2026")</f>
        <v/>
      </c>
      <c r="V15">
        <f>HYPERLINK("https://klasma.github.io/Logging_0125/klagomål/A 2533-2026 FSC-klagomål.docx", "A 2533-2026")</f>
        <v/>
      </c>
      <c r="W15">
        <f>HYPERLINK("https://klasma.github.io/Logging_0125/klagomålsmail/A 2533-2026 FSC-klagomål mail.docx", "A 2533-2026")</f>
        <v/>
      </c>
      <c r="X15">
        <f>HYPERLINK("https://klasma.github.io/Logging_0125/tillsyn/A 2533-2026 tillsynsbegäran.docx", "A 2533-2026")</f>
        <v/>
      </c>
      <c r="Y15">
        <f>HYPERLINK("https://klasma.github.io/Logging_0125/tillsynsmail/A 2533-2026 tillsynsbegäran mail.docx", "A 2533-2026")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46193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46193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46193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60728-2022</t>
        </is>
      </c>
      <c r="B19" s="1" t="n">
        <v>44913</v>
      </c>
      <c r="C19" s="1" t="n">
        <v>46193</v>
      </c>
      <c r="D19" t="inlineStr">
        <is>
          <t>STOCKHOLMS LÄN</t>
        </is>
      </c>
      <c r="E19" t="inlineStr">
        <is>
          <t>EKERÖ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46193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</v>
      </c>
      <c r="C21" s="1" t="n">
        <v>46193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</v>
      </c>
      <c r="C22" s="1" t="n">
        <v>46193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20399-2026</t>
        </is>
      </c>
      <c r="B23" s="1" t="n">
        <v>46139</v>
      </c>
      <c r="C23" s="1" t="n">
        <v>46193</v>
      </c>
      <c r="D23" t="inlineStr">
        <is>
          <t>STOCKHOLMS LÄN</t>
        </is>
      </c>
      <c r="E23" t="inlineStr">
        <is>
          <t>EKERÖ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20398-2026</t>
        </is>
      </c>
      <c r="B24" s="1" t="n">
        <v>46139</v>
      </c>
      <c r="C24" s="1" t="n">
        <v>46193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46193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</v>
      </c>
      <c r="C26" s="1" t="n">
        <v>46193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46193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3219-2022</t>
        </is>
      </c>
      <c r="B28" s="1" t="n">
        <v>44582</v>
      </c>
      <c r="C28" s="1" t="n">
        <v>46193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20898-2026</t>
        </is>
      </c>
      <c r="B29" s="1" t="n">
        <v>46142</v>
      </c>
      <c r="C29" s="1" t="n">
        <v>46193</v>
      </c>
      <c r="D29" t="inlineStr">
        <is>
          <t>STOCKHOLMS LÄN</t>
        </is>
      </c>
      <c r="E29" t="inlineStr">
        <is>
          <t>EKERÖ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</v>
      </c>
      <c r="C30" s="1" t="n">
        <v>46193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</v>
      </c>
      <c r="C31" s="1" t="n">
        <v>46193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</v>
      </c>
      <c r="C32" s="1" t="n">
        <v>46193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63378-2025</t>
        </is>
      </c>
      <c r="B33" s="1" t="n">
        <v>46010</v>
      </c>
      <c r="C33" s="1" t="n">
        <v>46193</v>
      </c>
      <c r="D33" t="inlineStr">
        <is>
          <t>STOCKHOLMS LÄN</t>
        </is>
      </c>
      <c r="E33" t="inlineStr">
        <is>
          <t>EKERÖ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46193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</v>
      </c>
      <c r="C35" s="1" t="n">
        <v>46193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35047-2025</t>
        </is>
      </c>
      <c r="B36" s="1" t="n">
        <v>45852</v>
      </c>
      <c r="C36" s="1" t="n">
        <v>46193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2026-06-20T00:46:00Z</dcterms:created>
  <dcterms:modified xmlns:dcterms="http://purl.org/dc/terms/" xmlns:xsi="http://www.w3.org/2001/XMLSchema-instance" xsi:type="dcterms:W3CDTF">2026-06-20T00:46:00Z</dcterms:modified>
</cp:coreProperties>
</file>