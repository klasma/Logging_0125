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52884-2022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44872</v>
      </c>
      <c r="E2" s="1" t="n">
        <v>46227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4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15</v>
      </c>
      <c r="U2" t="n">
        <v>13</v>
      </c>
      <c r="V2" s="2" t="inlineStr">
        <is>
          <t>Järnsparv
Myskbock
Blåsippa
Spillkråka
Grönsiska
Kungsfågel
Svartvit flugsnappare</t>
        </is>
      </c>
      <c r="W2">
        <f>HYPERLINK("https://klasma.github.io/Logging_0125/artfynd/A 52884-2022 artfynd.xlsx", "A 52884-2022")</f>
        <v/>
      </c>
      <c r="X2">
        <f>HYPERLINK("https://klasma.github.io/Logging_0125/kartor/A 52884-2022 karta.png", "A 52884-2022")</f>
        <v/>
      </c>
      <c r="Y2">
        <f>HYPERLINK("https://klasma.github.io/Logging_0125/kartor_geotiff/A 52884-2022 georefererad karta.tif", "A 52884-2022")</f>
        <v/>
      </c>
      <c r="AA2">
        <f>HYPERLINK("https://klasma.github.io/Logging_0125/klagomål/A 52884-2022 FSC-klagomål.docx", "A 52884-2022")</f>
        <v/>
      </c>
      <c r="AB2">
        <f>HYPERLINK("https://klasma.github.io/Logging_0125/klagomålsmail/A 52884-2022 FSC-klagomål mail.docx", "A 52884-2022")</f>
        <v/>
      </c>
      <c r="AC2">
        <f>HYPERLINK("https://klasma.github.io/Logging_0125/tillsyn/A 52884-2022 tillsynsbegäran.docx", "A 52884-2022")</f>
        <v/>
      </c>
      <c r="AD2">
        <f>HYPERLINK("https://klasma.github.io/Logging_0125/tillsynsmail/A 52884-2022 tillsynsbegäran mail.docx", "A 52884-2022")</f>
        <v/>
      </c>
      <c r="AE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44974</v>
      </c>
      <c r="E3" s="1" t="n">
        <v>46227</v>
      </c>
      <c r="F3" t="inlineStr">
        <is>
          <t>STOCKHOLMS LÄN</t>
        </is>
      </c>
      <c r="G3" t="inlineStr">
        <is>
          <t>EKERÖ</t>
        </is>
      </c>
      <c r="H3" t="inlineStr">
        <is>
          <t>Kommuner</t>
        </is>
      </c>
      <c r="I3" t="n">
        <v>5</v>
      </c>
      <c r="J3" t="n">
        <v>2</v>
      </c>
      <c r="K3" t="n">
        <v>3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6</v>
      </c>
      <c r="T3" t="n">
        <v>9</v>
      </c>
      <c r="U3" t="n">
        <v>0</v>
      </c>
      <c r="V3" s="2" t="inlineStr">
        <is>
          <t>Gul lammticka
Blomkålssvamp
Granbarkgnagare
Thomsons trägnagare
Blåsippa
Kungsfågel</t>
        </is>
      </c>
      <c r="W3">
        <f>HYPERLINK("https://klasma.github.io/Logging_0125/artfynd/A 8216-2023 artfynd.xlsx", "A 8216-2023")</f>
        <v/>
      </c>
      <c r="X3">
        <f>HYPERLINK("https://klasma.github.io/Logging_0125/kartor/A 8216-2023 karta.png", "A 8216-2023")</f>
        <v/>
      </c>
      <c r="Y3">
        <f>HYPERLINK("https://klasma.github.io/Logging_0125/kartor_geotiff/A 8216-2023 georefererad karta.tif", "A 8216-2023")</f>
        <v/>
      </c>
      <c r="AA3">
        <f>HYPERLINK("https://klasma.github.io/Logging_0125/klagomål/A 8216-2023 FSC-klagomål.docx", "A 8216-2023")</f>
        <v/>
      </c>
      <c r="AB3">
        <f>HYPERLINK("https://klasma.github.io/Logging_0125/klagomålsmail/A 8216-2023 FSC-klagomål mail.docx", "A 8216-2023")</f>
        <v/>
      </c>
      <c r="AC3">
        <f>HYPERLINK("https://klasma.github.io/Logging_0125/tillsyn/A 8216-2023 tillsynsbegäran.docx", "A 8216-2023")</f>
        <v/>
      </c>
      <c r="AD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45148</v>
      </c>
      <c r="E4" s="1" t="n">
        <v>46227</v>
      </c>
      <c r="F4" t="inlineStr">
        <is>
          <t>STOCKHOLMS LÄN</t>
        </is>
      </c>
      <c r="G4" t="inlineStr">
        <is>
          <t>EKERÖ</t>
        </is>
      </c>
      <c r="I4" t="n">
        <v>2.1</v>
      </c>
      <c r="J4" t="n">
        <v>2</v>
      </c>
      <c r="K4" t="n">
        <v>1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6</v>
      </c>
      <c r="T4" t="n">
        <v>14</v>
      </c>
      <c r="U4" t="n">
        <v>9</v>
      </c>
      <c r="V4" s="2" t="inlineStr">
        <is>
          <t>Bombmurkla
Gul lammticka
Fyrflikig jordstjärna
Kamjordstjärna
Blåbär
Vanlig groda</t>
        </is>
      </c>
      <c r="W4">
        <f>HYPERLINK("https://klasma.github.io/Logging_0125/artfynd/A 35953-2023 artfynd.xlsx", "A 35953-2023")</f>
        <v/>
      </c>
      <c r="X4">
        <f>HYPERLINK("https://klasma.github.io/Logging_0125/kartor/A 35953-2023 karta.png", "A 35953-2023")</f>
        <v/>
      </c>
      <c r="Y4">
        <f>HYPERLINK("https://klasma.github.io/Logging_0125/kartor_geotiff/A 35953-2023 georefererad karta.tif", "A 35953-2023")</f>
        <v/>
      </c>
      <c r="AA4">
        <f>HYPERLINK("https://klasma.github.io/Logging_0125/klagomål/A 35953-2023 FSC-klagomål.docx", "A 35953-2023")</f>
        <v/>
      </c>
      <c r="AB4">
        <f>HYPERLINK("https://klasma.github.io/Logging_0125/klagomålsmail/A 35953-2023 FSC-klagomål mail.docx", "A 35953-2023")</f>
        <v/>
      </c>
      <c r="AC4">
        <f>HYPERLINK("https://klasma.github.io/Logging_0125/tillsyn/A 35953-2023 tillsynsbegäran.docx", "A 35953-2023")</f>
        <v/>
      </c>
      <c r="AD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44582</v>
      </c>
      <c r="E5" s="1" t="n">
        <v>46227</v>
      </c>
      <c r="F5" t="inlineStr">
        <is>
          <t>STOCKHOLMS LÄN</t>
        </is>
      </c>
      <c r="G5" t="inlineStr">
        <is>
          <t>EKERÖ</t>
        </is>
      </c>
      <c r="I5" t="n">
        <v>1.2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5</v>
      </c>
      <c r="T5" t="n">
        <v>8</v>
      </c>
      <c r="U5" t="n">
        <v>6</v>
      </c>
      <c r="V5" s="2" t="inlineStr">
        <is>
          <t>Bombmurkla
Gul lammticka
Fyrflikig jordstjärna
Kamjordstjärna
Blåbär</t>
        </is>
      </c>
      <c r="W5">
        <f>HYPERLINK("https://klasma.github.io/Logging_0125/artfynd/A 3218-2022 artfynd.xlsx", "A 3218-2022")</f>
        <v/>
      </c>
      <c r="X5">
        <f>HYPERLINK("https://klasma.github.io/Logging_0125/kartor/A 3218-2022 karta.png", "A 3218-2022")</f>
        <v/>
      </c>
      <c r="Y5">
        <f>HYPERLINK("https://klasma.github.io/Logging_0125/kartor_geotiff/A 3218-2022 georefererad karta.tif", "A 3218-2022")</f>
        <v/>
      </c>
      <c r="AA5">
        <f>HYPERLINK("https://klasma.github.io/Logging_0125/klagomål/A 3218-2022 FSC-klagomål.docx", "A 3218-2022")</f>
        <v/>
      </c>
      <c r="AB5">
        <f>HYPERLINK("https://klasma.github.io/Logging_0125/klagomålsmail/A 3218-2022 FSC-klagomål mail.docx", "A 3218-2022")</f>
        <v/>
      </c>
      <c r="AC5">
        <f>HYPERLINK("https://klasma.github.io/Logging_0125/tillsyn/A 3218-2022 tillsynsbegäran.docx", "A 3218-2022")</f>
        <v/>
      </c>
      <c r="AD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46227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44634</v>
      </c>
      <c r="E7" s="1" t="n">
        <v>46227</v>
      </c>
      <c r="F7" t="inlineStr">
        <is>
          <t>STOCKHOLMS LÄN</t>
        </is>
      </c>
      <c r="G7" t="inlineStr">
        <is>
          <t>EKERÖ</t>
        </is>
      </c>
      <c r="I7" t="n">
        <v>2.7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Backklöver
Solvända
Gullviva</t>
        </is>
      </c>
      <c r="W7">
        <f>HYPERLINK("https://klasma.github.io/Logging_0125/artfynd/A 11803-2022 artfynd.xlsx", "A 11803-2022")</f>
        <v/>
      </c>
      <c r="X7">
        <f>HYPERLINK("https://klasma.github.io/Logging_0125/kartor/A 11803-2022 karta.png", "A 11803-2022")</f>
        <v/>
      </c>
      <c r="Y7">
        <f>HYPERLINK("https://klasma.github.io/Logging_0125/kartor_geotiff/A 11803-2022 georefererad karta.tif", "A 11803-2022")</f>
        <v/>
      </c>
      <c r="AA7">
        <f>HYPERLINK("https://klasma.github.io/Logging_0125/klagomål/A 11803-2022 FSC-klagomål.docx", "A 11803-2022")</f>
        <v/>
      </c>
      <c r="AB7">
        <f>HYPERLINK("https://klasma.github.io/Logging_0125/klagomålsmail/A 11803-2022 FSC-klagomål mail.docx", "A 11803-2022")</f>
        <v/>
      </c>
      <c r="AC7">
        <f>HYPERLINK("https://klasma.github.io/Logging_0125/tillsyn/A 11803-2022 tillsynsbegäran.docx", "A 11803-2022")</f>
        <v/>
      </c>
      <c r="AD7">
        <f>HYPERLINK("https://klasma.github.io/Logging_0125/tillsynsmail/A 11803-2022 tillsynsbegäran mail.docx", "A 11803-2022")</f>
        <v/>
      </c>
    </row>
    <row r="8" ht="15" customHeight="1">
      <c r="A8" t="inlineStr">
        <is>
          <t>A 49131-2025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46227</v>
      </c>
      <c r="F8" t="inlineStr">
        <is>
          <t>STOCKHOLMS LÄN</t>
        </is>
      </c>
      <c r="G8" t="inlineStr">
        <is>
          <t>EKERÖ</t>
        </is>
      </c>
      <c r="I8" t="n">
        <v>0.9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Jättemusseron
Motaggsvamp
Svartvit taggsvamp</t>
        </is>
      </c>
      <c r="W8">
        <f>HYPERLINK("https://klasma.github.io/Logging_0125/artfynd/A 49131-2025 artfynd.xlsx", "A 49131-2025")</f>
        <v/>
      </c>
      <c r="X8">
        <f>HYPERLINK("https://klasma.github.io/Logging_0125/kartor/A 49131-2025 karta.png", "A 49131-2025")</f>
        <v/>
      </c>
      <c r="Y8">
        <f>HYPERLINK("https://klasma.github.io/Logging_0125/kartor_geotiff/A 49131-2025 georefererad karta.tif", "A 49131-2025")</f>
        <v/>
      </c>
      <c r="AA8">
        <f>HYPERLINK("https://klasma.github.io/Logging_0125/klagomål/A 49131-2025 FSC-klagomål.docx", "A 49131-2025")</f>
        <v/>
      </c>
      <c r="AB8">
        <f>HYPERLINK("https://klasma.github.io/Logging_0125/klagomålsmail/A 49131-2025 FSC-klagomål mail.docx", "A 49131-2025")</f>
        <v/>
      </c>
      <c r="AC8">
        <f>HYPERLINK("https://klasma.github.io/Logging_0125/tillsyn/A 49131-2025 tillsynsbegäran.docx", "A 49131-2025")</f>
        <v/>
      </c>
      <c r="AD8">
        <f>HYPERLINK("https://klasma.github.io/Logging_0125/tillsynsmail/A 49131-2025 tillsynsbegäran mail.docx", "A 49131-2025")</f>
        <v/>
      </c>
    </row>
    <row r="9" ht="15" customHeight="1">
      <c r="A9" t="inlineStr">
        <is>
          <t>A 13237-2023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45002</v>
      </c>
      <c r="E9" s="1" t="n">
        <v>46227</v>
      </c>
      <c r="F9" t="inlineStr">
        <is>
          <t>STOCKHOLMS LÄN</t>
        </is>
      </c>
      <c r="G9" t="inlineStr">
        <is>
          <t>EKERÖ</t>
        </is>
      </c>
      <c r="H9" t="inlineStr">
        <is>
          <t>Kommuner</t>
        </is>
      </c>
      <c r="I9" t="n">
        <v>9.300000000000001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Tallticka
Granbarkgnagare
Grönpyrola</t>
        </is>
      </c>
      <c r="W9">
        <f>HYPERLINK("https://klasma.github.io/Logging_0125/artfynd/A 13237-2023 artfynd.xlsx", "A 13237-2023")</f>
        <v/>
      </c>
      <c r="X9">
        <f>HYPERLINK("https://klasma.github.io/Logging_0125/kartor/A 13237-2023 karta.png", "A 13237-2023")</f>
        <v/>
      </c>
      <c r="Y9">
        <f>HYPERLINK("https://klasma.github.io/Logging_0125/kartor_geotiff/A 13237-2023 georefererad karta.tif", "A 13237-2023")</f>
        <v/>
      </c>
      <c r="AA9">
        <f>HYPERLINK("https://klasma.github.io/Logging_0125/klagomål/A 13237-2023 FSC-klagomål.docx", "A 13237-2023")</f>
        <v/>
      </c>
      <c r="AB9">
        <f>HYPERLINK("https://klasma.github.io/Logging_0125/klagomålsmail/A 13237-2023 FSC-klagomål mail.docx", "A 13237-2023")</f>
        <v/>
      </c>
      <c r="AC9">
        <f>HYPERLINK("https://klasma.github.io/Logging_0125/tillsyn/A 13237-2023 tillsynsbegäran.docx", "A 13237-2023")</f>
        <v/>
      </c>
      <c r="AD9">
        <f>HYPERLINK("https://klasma.github.io/Logging_0125/tillsynsmail/A 13237-2023 tillsynsbegäran mail.docx", "A 13237-2023")</f>
        <v/>
      </c>
    </row>
    <row r="10" ht="15" customHeight="1">
      <c r="A10" t="inlineStr">
        <is>
          <t>A 48839-2023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45209</v>
      </c>
      <c r="E10" s="1" t="n">
        <v>46227</v>
      </c>
      <c r="F10" t="inlineStr">
        <is>
          <t>STOCKHOLMS LÄN</t>
        </is>
      </c>
      <c r="G10" t="inlineStr">
        <is>
          <t>EKERÖ</t>
        </is>
      </c>
      <c r="H10" t="inlineStr">
        <is>
          <t>Kyrkan</t>
        </is>
      </c>
      <c r="I10" t="n">
        <v>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Tallticka
Sångsvan</t>
        </is>
      </c>
      <c r="W10">
        <f>HYPERLINK("https://klasma.github.io/Logging_0125/artfynd/A 48839-2023 artfynd.xlsx", "A 48839-2023")</f>
        <v/>
      </c>
      <c r="X10">
        <f>HYPERLINK("https://klasma.github.io/Logging_0125/kartor/A 48839-2023 karta.png", "A 48839-2023")</f>
        <v/>
      </c>
      <c r="Y10">
        <f>HYPERLINK("https://klasma.github.io/Logging_0125/kartor_geotiff/A 48839-2023 georefererad karta.tif", "A 48839-2023")</f>
        <v/>
      </c>
      <c r="AA10">
        <f>HYPERLINK("https://klasma.github.io/Logging_0125/klagomål/A 48839-2023 FSC-klagomål.docx", "A 48839-2023")</f>
        <v/>
      </c>
      <c r="AB10">
        <f>HYPERLINK("https://klasma.github.io/Logging_0125/klagomålsmail/A 48839-2023 FSC-klagomål mail.docx", "A 48839-2023")</f>
        <v/>
      </c>
      <c r="AC10">
        <f>HYPERLINK("https://klasma.github.io/Logging_0125/tillsyn/A 48839-2023 tillsynsbegäran.docx", "A 48839-2023")</f>
        <v/>
      </c>
      <c r="AD10">
        <f>HYPERLINK("https://klasma.github.io/Logging_0125/tillsynsmail/A 48839-2023 tillsynsbegäran mail.docx", "A 48839-2023")</f>
        <v/>
      </c>
      <c r="AE10">
        <f>HYPERLINK("https://klasma.github.io/Logging_0125/fåglar/A 48839-2023 prioriterade fågelarter.docx", "A 48839-2023")</f>
        <v/>
      </c>
    </row>
    <row r="11" ht="15" customHeight="1">
      <c r="A11" t="inlineStr">
        <is>
          <t>S 2984-2023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45170</v>
      </c>
      <c r="E11" s="1" t="n">
        <v>46227</v>
      </c>
      <c r="F11" t="inlineStr">
        <is>
          <t>STOCKHOLMS LÄN</t>
        </is>
      </c>
      <c r="G11" t="inlineStr">
        <is>
          <t>EKERÖ</t>
        </is>
      </c>
      <c r="I11" t="n">
        <v>4.4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Ekticka
Grentaggsvamp</t>
        </is>
      </c>
      <c r="W11">
        <f>HYPERLINK("https://klasma.github.io/Logging_0125/artfynd/S 2984-2023 artfynd.xlsx", "S 2984-2023")</f>
        <v/>
      </c>
      <c r="X11">
        <f>HYPERLINK("https://klasma.github.io/Logging_0125/kartor/S 2984-2023 karta.png", "S 2984-2023")</f>
        <v/>
      </c>
      <c r="Y11">
        <f>HYPERLINK("https://klasma.github.io/Logging_0125/kartor_geotiff/S 2984-2023 georefererad karta.tif", "S 2984-2023")</f>
        <v/>
      </c>
      <c r="AA11">
        <f>HYPERLINK("https://klasma.github.io/Logging_0125/klagomål/S 2984-2023 FSC-klagomål.docx", "S 2984-2023")</f>
        <v/>
      </c>
      <c r="AB11">
        <f>HYPERLINK("https://klasma.github.io/Logging_0125/klagomålsmail/S 2984-2023 FSC-klagomål mail.docx", "S 2984-2023")</f>
        <v/>
      </c>
      <c r="AC11">
        <f>HYPERLINK("https://klasma.github.io/Logging_0125/tillsyn/S 2984-2023 tillsynsbegäran.docx", "S 2984-2023")</f>
        <v/>
      </c>
      <c r="AD11">
        <f>HYPERLINK("https://klasma.github.io/Logging_0125/tillsynsmail/S 2984-2023 tillsynsbegäran mail.docx", "S 2984-2023")</f>
        <v/>
      </c>
    </row>
    <row r="12" ht="15" customHeight="1">
      <c r="A12" t="inlineStr">
        <is>
          <t>A 13891-2022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44646</v>
      </c>
      <c r="E12" s="1" t="n">
        <v>46227</v>
      </c>
      <c r="F12" t="inlineStr">
        <is>
          <t>STOCKHOLMS LÄN</t>
        </is>
      </c>
      <c r="G12" t="inlineStr">
        <is>
          <t>EKERÖ</t>
        </is>
      </c>
      <c r="I12" t="n">
        <v>2.3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Granbarkgnagare</t>
        </is>
      </c>
      <c r="W12">
        <f>HYPERLINK("https://klasma.github.io/Logging_0125/artfynd/A 13891-2022 artfynd.xlsx", "A 13891-2022")</f>
        <v/>
      </c>
      <c r="X12">
        <f>HYPERLINK("https://klasma.github.io/Logging_0125/kartor/A 13891-2022 karta.png", "A 13891-2022")</f>
        <v/>
      </c>
      <c r="Y12">
        <f>HYPERLINK("https://klasma.github.io/Logging_0125/kartor_geotiff/A 13891-2022 georefererad karta.tif", "A 13891-2022")</f>
        <v/>
      </c>
      <c r="AA12">
        <f>HYPERLINK("https://klasma.github.io/Logging_0125/klagomål/A 13891-2022 FSC-klagomål.docx", "A 13891-2022")</f>
        <v/>
      </c>
      <c r="AB12">
        <f>HYPERLINK("https://klasma.github.io/Logging_0125/klagomålsmail/A 13891-2022 FSC-klagomål mail.docx", "A 13891-2022")</f>
        <v/>
      </c>
      <c r="AC12">
        <f>HYPERLINK("https://klasma.github.io/Logging_0125/tillsyn/A 13891-2022 tillsynsbegäran.docx", "A 13891-2022")</f>
        <v/>
      </c>
      <c r="AD12">
        <f>HYPERLINK("https://klasma.github.io/Logging_0125/tillsynsmail/A 13891-2022 tillsynsbegäran mail.docx", "A 13891-2022")</f>
        <v/>
      </c>
    </row>
    <row r="13" ht="15" customHeight="1">
      <c r="A13" t="inlineStr">
        <is>
          <t>A 1793-2025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45671</v>
      </c>
      <c r="E13" s="1" t="n">
        <v>46227</v>
      </c>
      <c r="F13" t="inlineStr">
        <is>
          <t>STOCKHOLMS LÄN</t>
        </is>
      </c>
      <c r="G13" t="inlineStr">
        <is>
          <t>EKERÖ</t>
        </is>
      </c>
      <c r="I13" t="n">
        <v>1.7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17</v>
      </c>
      <c r="U13" t="n">
        <v>0</v>
      </c>
      <c r="V13" s="2" t="inlineStr">
        <is>
          <t>Mistel</t>
        </is>
      </c>
      <c r="W13">
        <f>HYPERLINK("https://klasma.github.io/Logging_0125/artfynd/A 1793-2025 artfynd.xlsx", "A 1793-2025")</f>
        <v/>
      </c>
      <c r="X13">
        <f>HYPERLINK("https://klasma.github.io/Logging_0125/kartor/A 1793-2025 karta.png", "A 1793-2025")</f>
        <v/>
      </c>
      <c r="Y13">
        <f>HYPERLINK("https://klasma.github.io/Logging_0125/kartor_geotiff/A 1793-2025 georefererad karta.tif", "A 1793-2025")</f>
        <v/>
      </c>
      <c r="AA13">
        <f>HYPERLINK("https://klasma.github.io/Logging_0125/klagomål/A 1793-2025 FSC-klagomål.docx", "A 1793-2025")</f>
        <v/>
      </c>
      <c r="AB13">
        <f>HYPERLINK("https://klasma.github.io/Logging_0125/klagomålsmail/A 1793-2025 FSC-klagomål mail.docx", "A 1793-2025")</f>
        <v/>
      </c>
      <c r="AC13">
        <f>HYPERLINK("https://klasma.github.io/Logging_0125/tillsyn/A 1793-2025 tillsynsbegäran.docx", "A 1793-2025")</f>
        <v/>
      </c>
      <c r="AD13">
        <f>HYPERLINK("https://klasma.github.io/Logging_0125/tillsynsmail/A 1793-2025 tillsynsbegäran mail.docx", "A 1793-2025")</f>
        <v/>
      </c>
    </row>
    <row r="14" ht="15" customHeight="1">
      <c r="A14" t="inlineStr">
        <is>
          <t>A 2533-2026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46037</v>
      </c>
      <c r="E14" s="1" t="n">
        <v>46227</v>
      </c>
      <c r="F14" t="inlineStr">
        <is>
          <t>STOCKHOLMS LÄN</t>
        </is>
      </c>
      <c r="G14" t="inlineStr">
        <is>
          <t>EKERÖ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HYPERLINK("https://klasma.github.io/Logging_0125/artfynd/A 2533-2026 artfynd.xlsx", "A 2533-2026")</f>
        <v/>
      </c>
      <c r="X14">
        <f>HYPERLINK("https://klasma.github.io/Logging_0125/kartor/A 2533-2026 karta.png", "A 2533-2026")</f>
        <v/>
      </c>
      <c r="Y14">
        <f>HYPERLINK("https://klasma.github.io/Logging_0125/kartor_geotiff/A 2533-2026 georefererad karta.tif", "A 2533-2026")</f>
        <v/>
      </c>
      <c r="AA14">
        <f>HYPERLINK("https://klasma.github.io/Logging_0125/klagomål/A 2533-2026 FSC-klagomål.docx", "A 2533-2026")</f>
        <v/>
      </c>
      <c r="AB14">
        <f>HYPERLINK("https://klasma.github.io/Logging_0125/klagomålsmail/A 2533-2026 FSC-klagomål mail.docx", "A 2533-2026")</f>
        <v/>
      </c>
      <c r="AC14">
        <f>HYPERLINK("https://klasma.github.io/Logging_0125/tillsyn/A 2533-2026 tillsynsbegäran.docx", "A 2533-2026")</f>
        <v/>
      </c>
      <c r="AD14">
        <f>HYPERLINK("https://klasma.github.io/Logging_0125/tillsynsmail/A 2533-2026 tillsynsbegäran mail.docx", "A 2533-2026")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46227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46227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16242-2022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46227</v>
      </c>
      <c r="F17" t="inlineStr">
        <is>
          <t>STOCKHOLMS LÄN</t>
        </is>
      </c>
      <c r="G17" t="inlineStr">
        <is>
          <t>EKERÖ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36063-2022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46227</v>
      </c>
      <c r="F18" t="inlineStr">
        <is>
          <t>STOCKHOLMS LÄN</t>
        </is>
      </c>
      <c r="G18" t="inlineStr">
        <is>
          <t>EKERÖ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50184-2023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45208</v>
      </c>
      <c r="E19" s="1" t="n">
        <v>46227</v>
      </c>
      <c r="F19" t="inlineStr">
        <is>
          <t>STOCKHOLMS LÄN</t>
        </is>
      </c>
      <c r="G19" t="inlineStr">
        <is>
          <t>EKERÖ</t>
        </is>
      </c>
      <c r="I19" t="n">
        <v>10.8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56002-2024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45623</v>
      </c>
      <c r="E20" s="1" t="n">
        <v>46227</v>
      </c>
      <c r="F20" t="inlineStr">
        <is>
          <t>STOCKHOLMS LÄN</t>
        </is>
      </c>
      <c r="G20" t="inlineStr">
        <is>
          <t>EKERÖ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37245-2025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45876</v>
      </c>
      <c r="E21" s="1" t="n">
        <v>46227</v>
      </c>
      <c r="F21" t="inlineStr">
        <is>
          <t>STOCKHOLMS LÄN</t>
        </is>
      </c>
      <c r="G21" t="inlineStr">
        <is>
          <t>EKERÖ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63378-2025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46010</v>
      </c>
      <c r="E22" s="1" t="n">
        <v>46227</v>
      </c>
      <c r="F22" t="inlineStr">
        <is>
          <t>STOCKHOLMS LÄN</t>
        </is>
      </c>
      <c r="G22" t="inlineStr">
        <is>
          <t>EKERÖ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61217-2024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45645</v>
      </c>
      <c r="E23" s="1" t="n">
        <v>46227</v>
      </c>
      <c r="F23" t="inlineStr">
        <is>
          <t>STOCKHOLMS LÄN</t>
        </is>
      </c>
      <c r="G23" t="inlineStr">
        <is>
          <t>EKERÖ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2535-2026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46037</v>
      </c>
      <c r="E24" s="1" t="n">
        <v>46227</v>
      </c>
      <c r="F24" t="inlineStr">
        <is>
          <t>STOCKHOLMS LÄN</t>
        </is>
      </c>
      <c r="G24" t="inlineStr">
        <is>
          <t>EKERÖ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46227</v>
      </c>
      <c r="F25" t="inlineStr">
        <is>
          <t>STOCKHOLMS LÄN</t>
        </is>
      </c>
      <c r="G25" t="inlineStr">
        <is>
          <t>EKERÖ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46227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60755-2024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46227</v>
      </c>
      <c r="F27" t="inlineStr">
        <is>
          <t>STOCKHOLMS LÄN</t>
        </is>
      </c>
      <c r="G27" t="inlineStr">
        <is>
          <t>EKERÖ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55724-2024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45622</v>
      </c>
      <c r="E28" s="1" t="n">
        <v>46227</v>
      </c>
      <c r="F28" t="inlineStr">
        <is>
          <t>STOCKHOLMS LÄN</t>
        </is>
      </c>
      <c r="G28" t="inlineStr">
        <is>
          <t>EKERÖ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46227</v>
      </c>
      <c r="F29" t="inlineStr">
        <is>
          <t>STOCKHOLMS LÄN</t>
        </is>
      </c>
      <c r="G29" t="inlineStr">
        <is>
          <t>EKERÖ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20398-2026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46227</v>
      </c>
      <c r="F30" t="inlineStr">
        <is>
          <t>STOCKHOLMS LÄN</t>
        </is>
      </c>
      <c r="G30" t="inlineStr">
        <is>
          <t>EKERÖ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45148</v>
      </c>
      <c r="E31" s="1" t="n">
        <v>46227</v>
      </c>
      <c r="F31" t="inlineStr">
        <is>
          <t>STOCKHOLMS LÄN</t>
        </is>
      </c>
      <c r="G31" t="inlineStr">
        <is>
          <t>EKERÖ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20898-2026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46142</v>
      </c>
      <c r="E32" s="1" t="n">
        <v>46227</v>
      </c>
      <c r="F32" t="inlineStr">
        <is>
          <t>STOCKHOLMS LÄN</t>
        </is>
      </c>
      <c r="G32" t="inlineStr">
        <is>
          <t>EKERÖ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44913</v>
      </c>
      <c r="E33" s="1" t="n">
        <v>46227</v>
      </c>
      <c r="F33" t="inlineStr">
        <is>
          <t>STOCKHOLMS LÄN</t>
        </is>
      </c>
      <c r="G33" t="inlineStr">
        <is>
          <t>EKERÖ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34073-2025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45845</v>
      </c>
      <c r="E34" s="1" t="n">
        <v>46227</v>
      </c>
      <c r="F34" t="inlineStr">
        <is>
          <t>STOCKHOLMS LÄN</t>
        </is>
      </c>
      <c r="G34" t="inlineStr">
        <is>
          <t>EKERÖ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1390-2026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46153</v>
      </c>
      <c r="E35" s="1" t="n">
        <v>46227</v>
      </c>
      <c r="F35" t="inlineStr">
        <is>
          <t>STOCKHOLMS LÄN</t>
        </is>
      </c>
      <c r="G35" t="inlineStr">
        <is>
          <t>EKERÖ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2026-07-24T01:50:33Z</dcterms:created>
  <dcterms:modified xmlns:dcterms="http://purl.org/dc/terms/" xmlns:xsi="http://www.w3.org/2001/XMLSchema-instance" xsi:type="dcterms:W3CDTF">2026-07-24T01:50:33Z</dcterms:modified>
</cp:coreProperties>
</file>