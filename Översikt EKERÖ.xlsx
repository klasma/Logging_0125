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45966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45966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45966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45966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45966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49131-2025</t>
        </is>
      </c>
      <c r="B7" s="1" t="n">
        <v>45937.8984375</v>
      </c>
      <c r="C7" s="1" t="n">
        <v>45966</v>
      </c>
      <c r="D7" t="inlineStr">
        <is>
          <t>STOCKHOLMS LÄN</t>
        </is>
      </c>
      <c r="E7" t="inlineStr">
        <is>
          <t>EKERÖ</t>
        </is>
      </c>
      <c r="G7" t="n">
        <v>0.9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Jättemusseron
Svartvit taggsvamp</t>
        </is>
      </c>
      <c r="S7">
        <f>HYPERLINK("https://klasma.github.io/Logging_0125/artfynd/A 49131-2025 artfynd.xlsx", "A 49131-2025")</f>
        <v/>
      </c>
      <c r="T7">
        <f>HYPERLINK("https://klasma.github.io/Logging_0125/kartor/A 49131-2025 karta.png", "A 49131-2025")</f>
        <v/>
      </c>
      <c r="V7">
        <f>HYPERLINK("https://klasma.github.io/Logging_0125/klagomål/A 49131-2025 FSC-klagomål.docx", "A 49131-2025")</f>
        <v/>
      </c>
      <c r="W7">
        <f>HYPERLINK("https://klasma.github.io/Logging_0125/klagomålsmail/A 49131-2025 FSC-klagomål mail.docx", "A 49131-2025")</f>
        <v/>
      </c>
      <c r="X7">
        <f>HYPERLINK("https://klasma.github.io/Logging_0125/tillsyn/A 49131-2025 tillsynsbegäran.docx", "A 49131-2025")</f>
        <v/>
      </c>
      <c r="Y7">
        <f>HYPERLINK("https://klasma.github.io/Logging_0125/tillsynsmail/A 49131-2025 tillsynsbegäran mail.docx", "A 49131-2025")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45966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3218-2022</t>
        </is>
      </c>
      <c r="B9" s="1" t="n">
        <v>44582</v>
      </c>
      <c r="C9" s="1" t="n">
        <v>45966</v>
      </c>
      <c r="D9" t="inlineStr">
        <is>
          <t>STOCKHOLMS LÄN</t>
        </is>
      </c>
      <c r="E9" t="inlineStr">
        <is>
          <t>EKERÖ</t>
        </is>
      </c>
      <c r="G9" t="n">
        <v>1.2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Gul lammticka
Kamjordstjärna</t>
        </is>
      </c>
      <c r="S9">
        <f>HYPERLINK("https://klasma.github.io/Logging_0125/artfynd/A 3218-2022 artfynd.xlsx", "A 3218-2022")</f>
        <v/>
      </c>
      <c r="T9">
        <f>HYPERLINK("https://klasma.github.io/Logging_0125/kartor/A 3218-2022 karta.png", "A 3218-2022")</f>
        <v/>
      </c>
      <c r="V9">
        <f>HYPERLINK("https://klasma.github.io/Logging_0125/klagomål/A 3218-2022 FSC-klagomål.docx", "A 3218-2022")</f>
        <v/>
      </c>
      <c r="W9">
        <f>HYPERLINK("https://klasma.github.io/Logging_0125/klagomålsmail/A 3218-2022 FSC-klagomål mail.docx", "A 3218-2022")</f>
        <v/>
      </c>
      <c r="X9">
        <f>HYPERLINK("https://klasma.github.io/Logging_0125/tillsyn/A 3218-2022 tillsynsbegäran.docx", "A 3218-2022")</f>
        <v/>
      </c>
      <c r="Y9">
        <f>HYPERLINK("https://klasma.github.io/Logging_0125/tillsynsmail/A 3218-2022 tillsynsbegäran mail.docx", "A 3218-2022")</f>
        <v/>
      </c>
    </row>
    <row r="10" ht="15" customHeight="1">
      <c r="A10" t="inlineStr">
        <is>
          <t>A 26588-2025</t>
        </is>
      </c>
      <c r="B10" s="1" t="n">
        <v>45807.76052083333</v>
      </c>
      <c r="C10" s="1" t="n">
        <v>45966</v>
      </c>
      <c r="D10" t="inlineStr">
        <is>
          <t>STOCKHOLMS LÄN</t>
        </is>
      </c>
      <c r="E10" t="inlineStr">
        <is>
          <t>EKERÖ</t>
        </is>
      </c>
      <c r="G10" t="n">
        <v>6.1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Nattviol</t>
        </is>
      </c>
      <c r="S10">
        <f>HYPERLINK("https://klasma.github.io/Logging_0125/artfynd/A 26588-2025 artfynd.xlsx", "A 26588-2025")</f>
        <v/>
      </c>
      <c r="T10">
        <f>HYPERLINK("https://klasma.github.io/Logging_0125/kartor/A 26588-2025 karta.png", "A 26588-2025")</f>
        <v/>
      </c>
      <c r="V10">
        <f>HYPERLINK("https://klasma.github.io/Logging_0125/klagomål/A 26588-2025 FSC-klagomål.docx", "A 26588-2025")</f>
        <v/>
      </c>
      <c r="W10">
        <f>HYPERLINK("https://klasma.github.io/Logging_0125/klagomålsmail/A 26588-2025 FSC-klagomål mail.docx", "A 26588-2025")</f>
        <v/>
      </c>
      <c r="X10">
        <f>HYPERLINK("https://klasma.github.io/Logging_0125/tillsyn/A 26588-2025 tillsynsbegäran.docx", "A 26588-2025")</f>
        <v/>
      </c>
      <c r="Y10">
        <f>HYPERLINK("https://klasma.github.io/Logging_0125/tillsynsmail/A 26588-2025 tillsynsbegäran mail.docx", "A 26588-2025")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45966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52545-2024</t>
        </is>
      </c>
      <c r="B12" s="1" t="n">
        <v>45609.63619212963</v>
      </c>
      <c r="C12" s="1" t="n">
        <v>45966</v>
      </c>
      <c r="D12" t="inlineStr">
        <is>
          <t>STOCKHOLMS LÄN</t>
        </is>
      </c>
      <c r="E12" t="inlineStr">
        <is>
          <t>EKERÖ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HYPERLINK("https://klasma.github.io/Logging_0125/artfynd/A 52545-2024 artfynd.xlsx", "A 52545-2024")</f>
        <v/>
      </c>
      <c r="T12">
        <f>HYPERLINK("https://klasma.github.io/Logging_0125/kartor/A 52545-2024 karta.png", "A 52545-2024")</f>
        <v/>
      </c>
      <c r="V12">
        <f>HYPERLINK("https://klasma.github.io/Logging_0125/klagomål/A 52545-2024 FSC-klagomål.docx", "A 52545-2024")</f>
        <v/>
      </c>
      <c r="W12">
        <f>HYPERLINK("https://klasma.github.io/Logging_0125/klagomålsmail/A 52545-2024 FSC-klagomål mail.docx", "A 52545-2024")</f>
        <v/>
      </c>
      <c r="X12">
        <f>HYPERLINK("https://klasma.github.io/Logging_0125/tillsyn/A 52545-2024 tillsynsbegäran.docx", "A 52545-2024")</f>
        <v/>
      </c>
      <c r="Y12">
        <f>HYPERLINK("https://klasma.github.io/Logging_0125/tillsynsmail/A 52545-2024 tillsynsbegäran mail.docx", "A 52545-2024")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45966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45966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1793-2025</t>
        </is>
      </c>
      <c r="B15" s="1" t="n">
        <v>45671</v>
      </c>
      <c r="C15" s="1" t="n">
        <v>45966</v>
      </c>
      <c r="D15" t="inlineStr">
        <is>
          <t>STOCKHOLMS LÄN</t>
        </is>
      </c>
      <c r="E15" t="inlineStr">
        <is>
          <t>EKERÖ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Mistel</t>
        </is>
      </c>
      <c r="S15">
        <f>HYPERLINK("https://klasma.github.io/Logging_0125/artfynd/A 1793-2025 artfynd.xlsx", "A 1793-2025")</f>
        <v/>
      </c>
      <c r="T15">
        <f>HYPERLINK("https://klasma.github.io/Logging_0125/kartor/A 1793-2025 karta.png", "A 1793-2025")</f>
        <v/>
      </c>
      <c r="V15">
        <f>HYPERLINK("https://klasma.github.io/Logging_0125/klagomål/A 1793-2025 FSC-klagomål.docx", "A 1793-2025")</f>
        <v/>
      </c>
      <c r="W15">
        <f>HYPERLINK("https://klasma.github.io/Logging_0125/klagomålsmail/A 1793-2025 FSC-klagomål mail.docx", "A 1793-2025")</f>
        <v/>
      </c>
      <c r="X15">
        <f>HYPERLINK("https://klasma.github.io/Logging_0125/tillsyn/A 1793-2025 tillsynsbegäran.docx", "A 1793-2025")</f>
        <v/>
      </c>
      <c r="Y15">
        <f>HYPERLINK("https://klasma.github.io/Logging_0125/tillsynsmail/A 1793-2025 tillsynsbegäran mail.docx", "A 1793-2025")</f>
        <v/>
      </c>
    </row>
    <row r="16" ht="15" customHeight="1">
      <c r="A16" t="inlineStr">
        <is>
          <t>A 13794-2023</t>
        </is>
      </c>
      <c r="B16" s="1" t="n">
        <v>45007</v>
      </c>
      <c r="C16" s="1" t="n">
        <v>45966</v>
      </c>
      <c r="D16" t="inlineStr">
        <is>
          <t>STOCKHOLMS LÄN</t>
        </is>
      </c>
      <c r="E16" t="inlineStr">
        <is>
          <t>EKERÖ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HYPERLINK("https://klasma.github.io/Logging_0125/artfynd/A 13794-2023 artfynd.xlsx", "A 13794-2023")</f>
        <v/>
      </c>
      <c r="T16">
        <f>HYPERLINK("https://klasma.github.io/Logging_0125/kartor/A 13794-2023 karta.png", "A 13794-2023")</f>
        <v/>
      </c>
      <c r="V16">
        <f>HYPERLINK("https://klasma.github.io/Logging_0125/klagomål/A 13794-2023 FSC-klagomål.docx", "A 13794-2023")</f>
        <v/>
      </c>
      <c r="W16">
        <f>HYPERLINK("https://klasma.github.io/Logging_0125/klagomålsmail/A 13794-2023 FSC-klagomål mail.docx", "A 13794-2023")</f>
        <v/>
      </c>
      <c r="X16">
        <f>HYPERLINK("https://klasma.github.io/Logging_0125/tillsyn/A 13794-2023 tillsynsbegäran.docx", "A 13794-2023")</f>
        <v/>
      </c>
      <c r="Y16">
        <f>HYPERLINK("https://klasma.github.io/Logging_0125/tillsynsmail/A 13794-2023 tillsynsbegäran mail.docx", "A 13794-2023")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45966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45966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45966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45966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45966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48839-2023</t>
        </is>
      </c>
      <c r="B22" s="1" t="n">
        <v>45209</v>
      </c>
      <c r="C22" s="1" t="n">
        <v>45966</v>
      </c>
      <c r="D22" t="inlineStr">
        <is>
          <t>STOCKHOLMS LÄN</t>
        </is>
      </c>
      <c r="E22" t="inlineStr">
        <is>
          <t>EKERÖ</t>
        </is>
      </c>
      <c r="F22" t="inlineStr">
        <is>
          <t>Kyrkan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55724-2024</t>
        </is>
      </c>
      <c r="B23" s="1" t="n">
        <v>45622.81020833334</v>
      </c>
      <c r="C23" s="1" t="n">
        <v>45966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60755-2024</t>
        </is>
      </c>
      <c r="B24" s="1" t="n">
        <v>45644.56945601852</v>
      </c>
      <c r="C24" s="1" t="n">
        <v>45966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35955-2023</t>
        </is>
      </c>
      <c r="B25" s="1" t="n">
        <v>45148</v>
      </c>
      <c r="C25" s="1" t="n">
        <v>45966</v>
      </c>
      <c r="D25" t="inlineStr">
        <is>
          <t>STOCKHOLMS LÄN</t>
        </is>
      </c>
      <c r="E25" t="inlineStr">
        <is>
          <t>EKERÖ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61217-2024</t>
        </is>
      </c>
      <c r="B26" s="1" t="n">
        <v>45645.65825231482</v>
      </c>
      <c r="C26" s="1" t="n">
        <v>45966</v>
      </c>
      <c r="D26" t="inlineStr">
        <is>
          <t>STOCKHOLMS LÄN</t>
        </is>
      </c>
      <c r="E26" t="inlineStr">
        <is>
          <t>EKERÖ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56002-2024</t>
        </is>
      </c>
      <c r="B27" s="1" t="n">
        <v>45623.7328587963</v>
      </c>
      <c r="C27" s="1" t="n">
        <v>45966</v>
      </c>
      <c r="D27" t="inlineStr">
        <is>
          <t>STOCKHOLMS LÄN</t>
        </is>
      </c>
      <c r="E27" t="inlineStr">
        <is>
          <t>EKERÖ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60728-2022</t>
        </is>
      </c>
      <c r="B28" s="1" t="n">
        <v>44913</v>
      </c>
      <c r="C28" s="1" t="n">
        <v>45966</v>
      </c>
      <c r="D28" t="inlineStr">
        <is>
          <t>STOCKHOLMS LÄN</t>
        </is>
      </c>
      <c r="E28" t="inlineStr">
        <is>
          <t>EKERÖ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19935-2025</t>
        </is>
      </c>
      <c r="B29" s="1" t="n">
        <v>45771</v>
      </c>
      <c r="C29" s="1" t="n">
        <v>45966</v>
      </c>
      <c r="D29" t="inlineStr">
        <is>
          <t>STOCKHOLMS LÄN</t>
        </is>
      </c>
      <c r="E29" t="inlineStr">
        <is>
          <t>EKERÖ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26600-2025</t>
        </is>
      </c>
      <c r="B30" s="1" t="n">
        <v>45808.54792824074</v>
      </c>
      <c r="C30" s="1" t="n">
        <v>45966</v>
      </c>
      <c r="D30" t="inlineStr">
        <is>
          <t>STOCKHOLMS LÄN</t>
        </is>
      </c>
      <c r="E30" t="inlineStr">
        <is>
          <t>EKERÖ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3219-2022</t>
        </is>
      </c>
      <c r="B31" s="1" t="n">
        <v>44582</v>
      </c>
      <c r="C31" s="1" t="n">
        <v>45966</v>
      </c>
      <c r="D31" t="inlineStr">
        <is>
          <t>STOCKHOLMS LÄN</t>
        </is>
      </c>
      <c r="E31" t="inlineStr">
        <is>
          <t>EKERÖ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3221-2022</t>
        </is>
      </c>
      <c r="B32" s="1" t="n">
        <v>44582.80788194444</v>
      </c>
      <c r="C32" s="1" t="n">
        <v>45966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3222-2022</t>
        </is>
      </c>
      <c r="B33" s="1" t="n">
        <v>44582</v>
      </c>
      <c r="C33" s="1" t="n">
        <v>45966</v>
      </c>
      <c r="D33" t="inlineStr">
        <is>
          <t>STOCKHOLMS LÄN</t>
        </is>
      </c>
      <c r="E33" t="inlineStr">
        <is>
          <t>EKERÖ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31607-2025</t>
        </is>
      </c>
      <c r="B34" s="1" t="n">
        <v>45833</v>
      </c>
      <c r="C34" s="1" t="n">
        <v>45966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34073-2025</t>
        </is>
      </c>
      <c r="B35" s="1" t="n">
        <v>45845</v>
      </c>
      <c r="C35" s="1" t="n">
        <v>45966</v>
      </c>
      <c r="D35" t="inlineStr">
        <is>
          <t>STOCKHOLMS LÄN</t>
        </is>
      </c>
      <c r="E35" t="inlineStr">
        <is>
          <t>EKERÖ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35047-2025</t>
        </is>
      </c>
      <c r="B36" s="1" t="n">
        <v>45852.35094907408</v>
      </c>
      <c r="C36" s="1" t="n">
        <v>45966</v>
      </c>
      <c r="D36" t="inlineStr">
        <is>
          <t>STOCKHOLMS LÄN</t>
        </is>
      </c>
      <c r="E36" t="inlineStr">
        <is>
          <t>EKERÖ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37245-2025</t>
        </is>
      </c>
      <c r="B37" s="1" t="n">
        <v>45876.39396990741</v>
      </c>
      <c r="C37" s="1" t="n">
        <v>45966</v>
      </c>
      <c r="D37" t="inlineStr">
        <is>
          <t>STOCKHOLMS LÄN</t>
        </is>
      </c>
      <c r="E37" t="inlineStr">
        <is>
          <t>EKERÖ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50184-2023</t>
        </is>
      </c>
      <c r="B38" s="1" t="n">
        <v>45208</v>
      </c>
      <c r="C38" s="1" t="n">
        <v>45966</v>
      </c>
      <c r="D38" t="inlineStr">
        <is>
          <t>STOCKHOLMS LÄN</t>
        </is>
      </c>
      <c r="E38" t="inlineStr">
        <is>
          <t>EKERÖ</t>
        </is>
      </c>
      <c r="G38" t="n">
        <v>10.8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2025-11-05T10:11:33Z</dcterms:created>
  <dcterms:modified xmlns:dcterms="http://purl.org/dc/terms/" xmlns:xsi="http://www.w3.org/2001/XMLSchema-instance" xsi:type="dcterms:W3CDTF">2025-11-05T10:11:33Z</dcterms:modified>
</cp:coreProperties>
</file>