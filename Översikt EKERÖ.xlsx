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46308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46308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46308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46308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46308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46308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46308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46308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46308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46308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46308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46308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46308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46308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1793-2025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46308</v>
      </c>
      <c r="F16" t="inlineStr">
        <is>
          <t>STOCKHOLMS LÄN</t>
        </is>
      </c>
      <c r="G16" t="inlineStr">
        <is>
          <t>EKERÖ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17</v>
      </c>
      <c r="U16" t="n">
        <v>0</v>
      </c>
      <c r="V16" s="2" t="inlineStr">
        <is>
          <t>Mistel</t>
        </is>
      </c>
      <c r="W16">
        <f>HYPERLINK("https://klasma.github.io/Logging_0125/artfynd/A 1793-2025 artfynd.xlsx", "A 1793-2025")</f>
        <v/>
      </c>
      <c r="X16">
        <f>HYPERLINK("https://klasma.github.io/Logging_0125/kartor/A 1793-2025 karta.png", "A 1793-2025")</f>
        <v/>
      </c>
      <c r="Y16">
        <f>HYPERLINK("https://klasma.github.io/Logging_0125/kartor_geotiff/A 1793-2025 georefererad karta.tif", "A 1793-2025")</f>
        <v/>
      </c>
      <c r="AA16">
        <f>HYPERLINK("https://klasma.github.io/Logging_0125/klagomål/A 1793-2025 FSC-klagomål.docx", "A 1793-2025")</f>
        <v/>
      </c>
      <c r="AB16">
        <f>HYPERLINK("https://klasma.github.io/Logging_0125/klagomålsmail/A 1793-2025 FSC-klagomål mail.docx", "A 1793-2025")</f>
        <v/>
      </c>
      <c r="AC16">
        <f>HYPERLINK("https://klasma.github.io/Logging_0125/tillsyn/A 1793-2025 tillsynsbegäran.docx", "A 1793-2025")</f>
        <v/>
      </c>
      <c r="AD16">
        <f>HYPERLINK("https://klasma.github.io/Logging_0125/tillsynsmail/A 1793-2025 tillsynsbegäran mail.docx", "A 1793-2025")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46308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13794-2023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45007</v>
      </c>
      <c r="E18" s="1" t="n">
        <v>46308</v>
      </c>
      <c r="F18" t="inlineStr">
        <is>
          <t>STOCKHOLMS LÄN</t>
        </is>
      </c>
      <c r="G18" t="inlineStr">
        <is>
          <t>EKERÖ</t>
        </is>
      </c>
      <c r="I18" t="n">
        <v>4.8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HYPERLINK("https://klasma.github.io/Logging_0125/artfynd/A 13794-2023 artfynd.xlsx", "A 13794-2023")</f>
        <v/>
      </c>
      <c r="X18">
        <f>HYPERLINK("https://klasma.github.io/Logging_0125/kartor/A 13794-2023 karta.png", "A 13794-2023")</f>
        <v/>
      </c>
      <c r="Y18">
        <f>HYPERLINK("https://klasma.github.io/Logging_0125/kartor_geotiff/A 13794-2023 georefererad karta.tif", "A 13794-2023")</f>
        <v/>
      </c>
      <c r="AA18">
        <f>HYPERLINK("https://klasma.github.io/Logging_0125/klagomål/A 13794-2023 FSC-klagomål.docx", "A 13794-2023")</f>
        <v/>
      </c>
      <c r="AB18">
        <f>HYPERLINK("https://klasma.github.io/Logging_0125/klagomålsmail/A 13794-2023 FSC-klagomål mail.docx", "A 13794-2023")</f>
        <v/>
      </c>
      <c r="AC18">
        <f>HYPERLINK("https://klasma.github.io/Logging_0125/tillsyn/A 13794-2023 tillsynsbegäran.docx", "A 13794-2023")</f>
        <v/>
      </c>
      <c r="AD18">
        <f>HYPERLINK("https://klasma.github.io/Logging_0125/tillsynsmail/A 13794-2023 tillsynsbegäran mail.docx", "A 13794-2023")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46308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46308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45644</v>
      </c>
      <c r="E21" s="1" t="n">
        <v>46308</v>
      </c>
      <c r="F21" t="inlineStr">
        <is>
          <t>STOCKHOLMS LÄN</t>
        </is>
      </c>
      <c r="G21" t="inlineStr">
        <is>
          <t>EKERÖ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3219-2022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44582</v>
      </c>
      <c r="E22" s="1" t="n">
        <v>46308</v>
      </c>
      <c r="F22" t="inlineStr">
        <is>
          <t>STOCKHOLMS LÄN</t>
        </is>
      </c>
      <c r="G22" t="inlineStr">
        <is>
          <t>EKERÖ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63378-2025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46010</v>
      </c>
      <c r="E23" s="1" t="n">
        <v>46308</v>
      </c>
      <c r="F23" t="inlineStr">
        <is>
          <t>STOCKHOLMS LÄN</t>
        </is>
      </c>
      <c r="G23" t="inlineStr">
        <is>
          <t>EKERÖ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2535-2026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46037</v>
      </c>
      <c r="E24" s="1" t="n">
        <v>46308</v>
      </c>
      <c r="F24" t="inlineStr">
        <is>
          <t>STOCKHOLMS LÄN</t>
        </is>
      </c>
      <c r="G24" t="inlineStr">
        <is>
          <t>EKERÖ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33154-2026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46244</v>
      </c>
      <c r="E25" s="1" t="n">
        <v>46308</v>
      </c>
      <c r="F25" t="inlineStr">
        <is>
          <t>STOCKHOLMS LÄN</t>
        </is>
      </c>
      <c r="G25" t="inlineStr">
        <is>
          <t>EKERÖ</t>
        </is>
      </c>
      <c r="H25" t="inlineStr">
        <is>
          <t>Övriga statliga verk och myndigheter</t>
        </is>
      </c>
      <c r="I25" t="n">
        <v>3.5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37245-2025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45876</v>
      </c>
      <c r="E26" s="1" t="n">
        <v>46308</v>
      </c>
      <c r="F26" t="inlineStr">
        <is>
          <t>STOCKHOLMS LÄN</t>
        </is>
      </c>
      <c r="G26" t="inlineStr">
        <is>
          <t>EKERÖ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41699-2026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46301</v>
      </c>
      <c r="E27" s="1" t="n">
        <v>46308</v>
      </c>
      <c r="F27" t="inlineStr">
        <is>
          <t>STOCKHOLMS LÄN</t>
        </is>
      </c>
      <c r="G27" t="inlineStr">
        <is>
          <t>EKERÖ</t>
        </is>
      </c>
      <c r="H27" t="inlineStr">
        <is>
          <t>Övriga statliga verk och myndigheter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20399-2026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46139</v>
      </c>
      <c r="E28" s="1" t="n">
        <v>46308</v>
      </c>
      <c r="F28" t="inlineStr">
        <is>
          <t>STOCKHOLMS LÄN</t>
        </is>
      </c>
      <c r="G28" t="inlineStr">
        <is>
          <t>EKERÖ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46308</v>
      </c>
      <c r="F29" t="inlineStr">
        <is>
          <t>STOCKHOLMS LÄN</t>
        </is>
      </c>
      <c r="G29" t="inlineStr">
        <is>
          <t>EKERÖ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50184-2023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45208</v>
      </c>
      <c r="E30" s="1" t="n">
        <v>46308</v>
      </c>
      <c r="F30" t="inlineStr">
        <is>
          <t>STOCKHOLMS LÄN</t>
        </is>
      </c>
      <c r="G30" t="inlineStr">
        <is>
          <t>EKERÖ</t>
        </is>
      </c>
      <c r="I30" t="n">
        <v>10.8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20898-2026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46142</v>
      </c>
      <c r="E31" s="1" t="n">
        <v>46308</v>
      </c>
      <c r="F31" t="inlineStr">
        <is>
          <t>STOCKHOLMS LÄN</t>
        </is>
      </c>
      <c r="G31" t="inlineStr">
        <is>
          <t>EKERÖ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34073-2025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45845</v>
      </c>
      <c r="E32" s="1" t="n">
        <v>46308</v>
      </c>
      <c r="F32" t="inlineStr">
        <is>
          <t>STOCKHOLMS LÄN</t>
        </is>
      </c>
      <c r="G32" t="inlineStr">
        <is>
          <t>EKERÖ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55724-2024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45622</v>
      </c>
      <c r="E33" s="1" t="n">
        <v>46308</v>
      </c>
      <c r="F33" t="inlineStr">
        <is>
          <t>STOCKHOLMS LÄN</t>
        </is>
      </c>
      <c r="G33" t="inlineStr">
        <is>
          <t>EKERÖ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45148</v>
      </c>
      <c r="E34" s="1" t="n">
        <v>46308</v>
      </c>
      <c r="F34" t="inlineStr">
        <is>
          <t>STOCKHOLMS LÄN</t>
        </is>
      </c>
      <c r="G34" t="inlineStr">
        <is>
          <t>EKERÖ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61217-2024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45645</v>
      </c>
      <c r="E35" s="1" t="n">
        <v>46308</v>
      </c>
      <c r="F35" t="inlineStr">
        <is>
          <t>STOCKHOLMS LÄN</t>
        </is>
      </c>
      <c r="G35" t="inlineStr">
        <is>
          <t>EKERÖ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56002-2024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45623</v>
      </c>
      <c r="E36" s="1" t="n">
        <v>46308</v>
      </c>
      <c r="F36" t="inlineStr">
        <is>
          <t>STOCKHOLMS LÄN</t>
        </is>
      </c>
      <c r="G36" t="inlineStr">
        <is>
          <t>EKERÖ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44913</v>
      </c>
      <c r="E37" s="1" t="n">
        <v>46308</v>
      </c>
      <c r="F37" t="inlineStr">
        <is>
          <t>STOCKHOLMS LÄN</t>
        </is>
      </c>
      <c r="G37" t="inlineStr">
        <is>
          <t>EKERÖ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44582</v>
      </c>
      <c r="E38" s="1" t="n">
        <v>46308</v>
      </c>
      <c r="F38" t="inlineStr">
        <is>
          <t>STOCKHOLMS LÄN</t>
        </is>
      </c>
      <c r="G38" t="inlineStr">
        <is>
          <t>EKERÖ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>
      <c r="A39" t="inlineStr">
        <is>
          <t>S 1390-2026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46153</v>
      </c>
      <c r="E39" s="1" t="n">
        <v>46308</v>
      </c>
      <c r="F39" t="inlineStr">
        <is>
          <t>STOCKHOLMS LÄN</t>
        </is>
      </c>
      <c r="G39" t="inlineStr">
        <is>
          <t>EKERÖ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2026-10-13T01:57:52Z</dcterms:created>
  <dcterms:modified xmlns:dcterms="http://purl.org/dc/terms/" xmlns:xsi="http://www.w3.org/2001/XMLSchema-instance" xsi:type="dcterms:W3CDTF">2026-10-13T01:57:52Z</dcterms:modified>
</cp:coreProperties>
</file>