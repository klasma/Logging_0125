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46205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46205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46205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46205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46205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s="1" t="n">
        <v>45937</v>
      </c>
      <c r="C8" s="1" t="n">
        <v>46205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Jättemusseron
Motaggsvamp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s="1" t="n">
        <v>45002</v>
      </c>
      <c r="C9" s="1" t="n">
        <v>46205</v>
      </c>
      <c r="D9" t="inlineStr">
        <is>
          <t>STOCKHOLMS LÄN</t>
        </is>
      </c>
      <c r="E9" t="inlineStr">
        <is>
          <t>EKERÖ</t>
        </is>
      </c>
      <c r="F9" t="inlineStr">
        <is>
          <t>Kommuner</t>
        </is>
      </c>
      <c r="G9" t="n">
        <v>9.300000000000001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Granbarkgnagare
Grönpyrola</t>
        </is>
      </c>
      <c r="S9">
        <f>HYPERLINK("https://klasma.github.io/Logging_0125/artfynd/A 13237-2023 artfynd.xlsx", "A 13237-2023")</f>
        <v/>
      </c>
      <c r="T9">
        <f>HYPERLINK("https://klasma.github.io/Logging_0125/kartor/A 13237-2023 karta.png", "A 13237-2023")</f>
        <v/>
      </c>
      <c r="V9">
        <f>HYPERLINK("https://klasma.github.io/Logging_0125/klagomål/A 13237-2023 FSC-klagomål.docx", "A 13237-2023")</f>
        <v/>
      </c>
      <c r="W9">
        <f>HYPERLINK("https://klasma.github.io/Logging_0125/klagomålsmail/A 13237-2023 FSC-klagomål mail.docx", "A 13237-2023")</f>
        <v/>
      </c>
      <c r="X9">
        <f>HYPERLINK("https://klasma.github.io/Logging_0125/tillsyn/A 13237-2023 tillsynsbegäran.docx", "A 13237-2023")</f>
        <v/>
      </c>
      <c r="Y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46205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46205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s="1" t="n">
        <v>46037</v>
      </c>
      <c r="C13" s="1" t="n">
        <v>46205</v>
      </c>
      <c r="D13" t="inlineStr">
        <is>
          <t>STOCKHOLMS LÄN</t>
        </is>
      </c>
      <c r="E13" t="inlineStr">
        <is>
          <t>EKERÖ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HYPERLINK("https://klasma.github.io/Logging_0125/artfynd/A 2533-2026 artfynd.xlsx", "A 2533-2026")</f>
        <v/>
      </c>
      <c r="T13">
        <f>HYPERLINK("https://klasma.github.io/Logging_0125/kartor/A 2533-2026 karta.png", "A 2533-2026")</f>
        <v/>
      </c>
      <c r="V13">
        <f>HYPERLINK("https://klasma.github.io/Logging_0125/klagomål/A 2533-2026 FSC-klagomål.docx", "A 2533-2026")</f>
        <v/>
      </c>
      <c r="W13">
        <f>HYPERLINK("https://klasma.github.io/Logging_0125/klagomålsmail/A 2533-2026 FSC-klagomål mail.docx", "A 2533-2026")</f>
        <v/>
      </c>
      <c r="X13">
        <f>HYPERLINK("https://klasma.github.io/Logging_0125/tillsyn/A 2533-2026 tillsynsbegäran.docx", "A 2533-2026")</f>
        <v/>
      </c>
      <c r="Y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46205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46205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46205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46205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46205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</v>
      </c>
      <c r="C19" s="1" t="n">
        <v>46205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46205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34073-2025</t>
        </is>
      </c>
      <c r="B21" s="1" t="n">
        <v>45845</v>
      </c>
      <c r="C21" s="1" t="n">
        <v>46205</v>
      </c>
      <c r="D21" t="inlineStr">
        <is>
          <t>STOCKHOLMS LÄN</t>
        </is>
      </c>
      <c r="E21" t="inlineStr">
        <is>
          <t>EKERÖ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</v>
      </c>
      <c r="C22" s="1" t="n">
        <v>46205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</v>
      </c>
      <c r="C23" s="1" t="n">
        <v>46205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2535-2026</t>
        </is>
      </c>
      <c r="B24" s="1" t="n">
        <v>46037</v>
      </c>
      <c r="C24" s="1" t="n">
        <v>46205</v>
      </c>
      <c r="D24" t="inlineStr">
        <is>
          <t>STOCKHOLMS LÄN</t>
        </is>
      </c>
      <c r="E24" t="inlineStr">
        <is>
          <t>EKERÖ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</v>
      </c>
      <c r="C25" s="1" t="n">
        <v>46205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3222-2022</t>
        </is>
      </c>
      <c r="B26" s="1" t="n">
        <v>44582</v>
      </c>
      <c r="C26" s="1" t="n">
        <v>46205</v>
      </c>
      <c r="D26" t="inlineStr">
        <is>
          <t>STOCKHOLMS LÄN</t>
        </is>
      </c>
      <c r="E26" t="inlineStr">
        <is>
          <t>EKERÖ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63378-2025</t>
        </is>
      </c>
      <c r="B27" s="1" t="n">
        <v>46010</v>
      </c>
      <c r="C27" s="1" t="n">
        <v>46205</v>
      </c>
      <c r="D27" t="inlineStr">
        <is>
          <t>STOCKHOLMS LÄN</t>
        </is>
      </c>
      <c r="E27" t="inlineStr">
        <is>
          <t>EKERÖ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46205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</v>
      </c>
      <c r="C29" s="1" t="n">
        <v>46205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</v>
      </c>
      <c r="C30" s="1" t="n">
        <v>46205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</v>
      </c>
      <c r="C31" s="1" t="n">
        <v>46205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46205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46205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46205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20898-2026</t>
        </is>
      </c>
      <c r="B35" s="1" t="n">
        <v>46142</v>
      </c>
      <c r="C35" s="1" t="n">
        <v>46205</v>
      </c>
      <c r="D35" t="inlineStr">
        <is>
          <t>STOCKHOLMS LÄN</t>
        </is>
      </c>
      <c r="E35" t="inlineStr">
        <is>
          <t>EKERÖ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60728-2022</t>
        </is>
      </c>
      <c r="B36" s="1" t="n">
        <v>44913</v>
      </c>
      <c r="C36" s="1" t="n">
        <v>46205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2026-07-02T00:58:40Z</dcterms:created>
  <dcterms:modified xmlns:dcterms="http://purl.org/dc/terms/" xmlns:xsi="http://www.w3.org/2001/XMLSchema-instance" xsi:type="dcterms:W3CDTF">2026-07-02T00:58:41Z</dcterms:modified>
</cp:coreProperties>
</file>