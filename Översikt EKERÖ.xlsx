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46188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46188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46188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46188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48988-2025</t>
        </is>
      </c>
      <c r="B6" s="1" t="n">
        <v>45936</v>
      </c>
      <c r="C6" s="1" t="n">
        <v>46188</v>
      </c>
      <c r="D6" t="inlineStr">
        <is>
          <t>STOCKHOLMS LÄN</t>
        </is>
      </c>
      <c r="E6" t="inlineStr">
        <is>
          <t>EKERÖ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Blodvaxing
Ängsvaxing agg.</t>
        </is>
      </c>
      <c r="S6">
        <f>HYPERLINK("https://klasma.github.io/Logging_0125/artfynd/A 48988-2025 artfynd.xlsx", "A 48988-2025")</f>
        <v/>
      </c>
      <c r="T6">
        <f>HYPERLINK("https://klasma.github.io/Logging_0125/kartor/A 48988-2025 karta.png", "A 48988-2025")</f>
        <v/>
      </c>
      <c r="V6">
        <f>HYPERLINK("https://klasma.github.io/Logging_0125/klagomål/A 48988-2025 FSC-klagomål.docx", "A 48988-2025")</f>
        <v/>
      </c>
      <c r="W6">
        <f>HYPERLINK("https://klasma.github.io/Logging_0125/klagomålsmail/A 48988-2025 FSC-klagomål mail.docx", "A 48988-2025")</f>
        <v/>
      </c>
      <c r="X6">
        <f>HYPERLINK("https://klasma.github.io/Logging_0125/tillsyn/A 48988-2025 tillsynsbegäran.docx", "A 48988-2025")</f>
        <v/>
      </c>
      <c r="Y6">
        <f>HYPERLINK("https://klasma.github.io/Logging_0125/tillsynsmail/A 48988-2025 tillsynsbegäran mail.docx", "A 48988-2025")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46188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35953-2023</t>
        </is>
      </c>
      <c r="B8" s="1" t="n">
        <v>45148</v>
      </c>
      <c r="C8" s="1" t="n">
        <v>46188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Vanlig groda</t>
        </is>
      </c>
      <c r="S8">
        <f>HYPERLINK("https://klasma.github.io/Logging_0125/artfynd/A 35953-2023 artfynd.xlsx", "A 35953-2023")</f>
        <v/>
      </c>
      <c r="T8">
        <f>HYPERLINK("https://klasma.github.io/Logging_0125/kartor/A 35953-2023 karta.png", "A 35953-2023")</f>
        <v/>
      </c>
      <c r="V8">
        <f>HYPERLINK("https://klasma.github.io/Logging_0125/klagomål/A 35953-2023 FSC-klagomål.docx", "A 35953-2023")</f>
        <v/>
      </c>
      <c r="W8">
        <f>HYPERLINK("https://klasma.github.io/Logging_0125/klagomålsmail/A 35953-2023 FSC-klagomål mail.docx", "A 35953-2023")</f>
        <v/>
      </c>
      <c r="X8">
        <f>HYPERLINK("https://klasma.github.io/Logging_0125/tillsyn/A 35953-2023 tillsynsbegäran.docx", "A 35953-2023")</f>
        <v/>
      </c>
      <c r="Y8">
        <f>HYPERLINK("https://klasma.github.io/Logging_0125/tillsynsmail/A 35953-2023 tillsynsbegäran mail.docx", "A 35953-2023")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46188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13891-2022</t>
        </is>
      </c>
      <c r="B10" s="1" t="n">
        <v>44646</v>
      </c>
      <c r="C10" s="1" t="n">
        <v>46188</v>
      </c>
      <c r="D10" t="inlineStr">
        <is>
          <t>STOCKHOLMS LÄN</t>
        </is>
      </c>
      <c r="E10" t="inlineStr">
        <is>
          <t>EKERÖ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Granbarkgnagare</t>
        </is>
      </c>
      <c r="S10">
        <f>HYPERLINK("https://klasma.github.io/Logging_0125/artfynd/A 13891-2022 artfynd.xlsx", "A 13891-2022")</f>
        <v/>
      </c>
      <c r="T10">
        <f>HYPERLINK("https://klasma.github.io/Logging_0125/kartor/A 13891-2022 karta.png", "A 13891-2022")</f>
        <v/>
      </c>
      <c r="V10">
        <f>HYPERLINK("https://klasma.github.io/Logging_0125/klagomål/A 13891-2022 FSC-klagomål.docx", "A 13891-2022")</f>
        <v/>
      </c>
      <c r="W10">
        <f>HYPERLINK("https://klasma.github.io/Logging_0125/klagomålsmail/A 13891-2022 FSC-klagomål mail.docx", "A 13891-2022")</f>
        <v/>
      </c>
      <c r="X10">
        <f>HYPERLINK("https://klasma.github.io/Logging_0125/tillsyn/A 13891-2022 tillsynsbegäran.docx", "A 13891-2022")</f>
        <v/>
      </c>
      <c r="Y10">
        <f>HYPERLINK("https://klasma.github.io/Logging_0125/tillsynsmail/A 13891-2022 tillsynsbegäran mail.docx", "A 13891-2022")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46188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46188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17520-2026</t>
        </is>
      </c>
      <c r="B13" s="1" t="n">
        <v>46119</v>
      </c>
      <c r="C13" s="1" t="n">
        <v>46188</v>
      </c>
      <c r="D13" t="inlineStr">
        <is>
          <t>STOCKHOLMS LÄN</t>
        </is>
      </c>
      <c r="E13" t="inlineStr">
        <is>
          <t>EKERÖ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Gulgrön kantmusseron</t>
        </is>
      </c>
      <c r="S13">
        <f>HYPERLINK("https://klasma.github.io/Logging_0125/artfynd/A 17520-2026 artfynd.xlsx", "A 17520-2026")</f>
        <v/>
      </c>
      <c r="T13">
        <f>HYPERLINK("https://klasma.github.io/Logging_0125/kartor/A 17520-2026 karta.png", "A 17520-2026")</f>
        <v/>
      </c>
      <c r="V13">
        <f>HYPERLINK("https://klasma.github.io/Logging_0125/klagomål/A 17520-2026 FSC-klagomål.docx", "A 17520-2026")</f>
        <v/>
      </c>
      <c r="W13">
        <f>HYPERLINK("https://klasma.github.io/Logging_0125/klagomålsmail/A 17520-2026 FSC-klagomål mail.docx", "A 17520-2026")</f>
        <v/>
      </c>
      <c r="X13">
        <f>HYPERLINK("https://klasma.github.io/Logging_0125/tillsyn/A 17520-2026 tillsynsbegäran.docx", "A 17520-2026")</f>
        <v/>
      </c>
      <c r="Y13">
        <f>HYPERLINK("https://klasma.github.io/Logging_0125/tillsynsmail/A 17520-2026 tillsynsbegäran mail.docx", "A 17520-2026")</f>
        <v/>
      </c>
    </row>
    <row r="14" ht="15" customHeight="1">
      <c r="A14" t="inlineStr">
        <is>
          <t>A 29533-2021</t>
        </is>
      </c>
      <c r="B14" s="1" t="n">
        <v>44361</v>
      </c>
      <c r="C14" s="1" t="n">
        <v>46188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16242-2022</t>
        </is>
      </c>
      <c r="B15" s="1" t="n">
        <v>44670</v>
      </c>
      <c r="C15" s="1" t="n">
        <v>46188</v>
      </c>
      <c r="D15" t="inlineStr">
        <is>
          <t>STOCKHOLMS LÄN</t>
        </is>
      </c>
      <c r="E15" t="inlineStr">
        <is>
          <t>EKERÖ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36063-2022</t>
        </is>
      </c>
      <c r="B16" s="1" t="n">
        <v>44802</v>
      </c>
      <c r="C16" s="1" t="n">
        <v>46188</v>
      </c>
      <c r="D16" t="inlineStr">
        <is>
          <t>STOCKHOLMS LÄN</t>
        </is>
      </c>
      <c r="E16" t="inlineStr">
        <is>
          <t>EKERÖ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3219-2022</t>
        </is>
      </c>
      <c r="B17" s="1" t="n">
        <v>44582</v>
      </c>
      <c r="C17" s="1" t="n">
        <v>46188</v>
      </c>
      <c r="D17" t="inlineStr">
        <is>
          <t>STOCKHOLMS LÄN</t>
        </is>
      </c>
      <c r="E17" t="inlineStr">
        <is>
          <t>EKERÖ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3221-2022</t>
        </is>
      </c>
      <c r="B18" s="1" t="n">
        <v>44582.80788194444</v>
      </c>
      <c r="C18" s="1" t="n">
        <v>46188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63378-2025</t>
        </is>
      </c>
      <c r="B19" s="1" t="n">
        <v>46010.72528935185</v>
      </c>
      <c r="C19" s="1" t="n">
        <v>46188</v>
      </c>
      <c r="D19" t="inlineStr">
        <is>
          <t>STOCKHOLMS LÄN</t>
        </is>
      </c>
      <c r="E19" t="inlineStr">
        <is>
          <t>EKERÖ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46188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2533-2026</t>
        </is>
      </c>
      <c r="B21" s="1" t="n">
        <v>46037</v>
      </c>
      <c r="C21" s="1" t="n">
        <v>46188</v>
      </c>
      <c r="D21" t="inlineStr">
        <is>
          <t>STOCKHOLMS LÄN</t>
        </is>
      </c>
      <c r="E21" t="inlineStr">
        <is>
          <t>EKERÖ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2535-2026</t>
        </is>
      </c>
      <c r="B22" s="1" t="n">
        <v>46037.4490625</v>
      </c>
      <c r="C22" s="1" t="n">
        <v>46188</v>
      </c>
      <c r="D22" t="inlineStr">
        <is>
          <t>STOCKHOLMS LÄN</t>
        </is>
      </c>
      <c r="E22" t="inlineStr">
        <is>
          <t>EKERÖ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46188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46188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46188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46188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46188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46188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46188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46188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20399-2026</t>
        </is>
      </c>
      <c r="B31" s="1" t="n">
        <v>46139</v>
      </c>
      <c r="C31" s="1" t="n">
        <v>46188</v>
      </c>
      <c r="D31" t="inlineStr">
        <is>
          <t>STOCKHOLMS LÄN</t>
        </is>
      </c>
      <c r="E31" t="inlineStr">
        <is>
          <t>EKERÖ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46188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20398-2026</t>
        </is>
      </c>
      <c r="B33" s="1" t="n">
        <v>46139</v>
      </c>
      <c r="C33" s="1" t="n">
        <v>46188</v>
      </c>
      <c r="D33" t="inlineStr">
        <is>
          <t>STOCKHOLMS LÄN</t>
        </is>
      </c>
      <c r="E33" t="inlineStr">
        <is>
          <t>EKERÖ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35047-2025</t>
        </is>
      </c>
      <c r="B34" s="1" t="n">
        <v>45852.35094907408</v>
      </c>
      <c r="C34" s="1" t="n">
        <v>46188</v>
      </c>
      <c r="D34" t="inlineStr">
        <is>
          <t>STOCKHOLMS LÄN</t>
        </is>
      </c>
      <c r="E34" t="inlineStr">
        <is>
          <t>EKERÖ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20898-2026</t>
        </is>
      </c>
      <c r="B35" s="1" t="n">
        <v>46142.45217592592</v>
      </c>
      <c r="C35" s="1" t="n">
        <v>46188</v>
      </c>
      <c r="D35" t="inlineStr">
        <is>
          <t>STOCKHOLMS LÄN</t>
        </is>
      </c>
      <c r="E35" t="inlineStr">
        <is>
          <t>EKERÖ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46188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60755-2024</t>
        </is>
      </c>
      <c r="B37" s="1" t="n">
        <v>45644.56945601852</v>
      </c>
      <c r="C37" s="1" t="n">
        <v>46188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2026-06-15T09:25:07Z</dcterms:created>
  <dcterms:modified xmlns:dcterms="http://purl.org/dc/terms/" xmlns:xsi="http://www.w3.org/2001/XMLSchema-instance" xsi:type="dcterms:W3CDTF">2026-06-15T09:25:07Z</dcterms:modified>
</cp:coreProperties>
</file>