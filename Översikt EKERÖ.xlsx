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46191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35953-2023</t>
        </is>
      </c>
      <c r="B3" s="1" t="n">
        <v>45148</v>
      </c>
      <c r="C3" s="1" t="n">
        <v>46191</v>
      </c>
      <c r="D3" t="inlineStr">
        <is>
          <t>STOCKHOLMS LÄN</t>
        </is>
      </c>
      <c r="E3" t="inlineStr">
        <is>
          <t>EKERÖ</t>
        </is>
      </c>
      <c r="G3" t="n">
        <v>2.1</v>
      </c>
      <c r="H3" t="n">
        <v>2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Bombmurkla
Gul lammticka
Fyrflikig jordstjärna
Kamjordstjärna
Blåbär
Vanlig groda</t>
        </is>
      </c>
      <c r="S3">
        <f>HYPERLINK("https://klasma.github.io/Logging_0125/artfynd/A 35953-2023 artfynd.xlsx", "A 35953-2023")</f>
        <v/>
      </c>
      <c r="T3">
        <f>HYPERLINK("https://klasma.github.io/Logging_0125/kartor/A 35953-2023 karta.png", "A 35953-2023")</f>
        <v/>
      </c>
      <c r="V3">
        <f>HYPERLINK("https://klasma.github.io/Logging_0125/klagomål/A 35953-2023 FSC-klagomål.docx", "A 35953-2023")</f>
        <v/>
      </c>
      <c r="W3">
        <f>HYPERLINK("https://klasma.github.io/Logging_0125/klagomålsmail/A 35953-2023 FSC-klagomål mail.docx", "A 35953-2023")</f>
        <v/>
      </c>
      <c r="X3">
        <f>HYPERLINK("https://klasma.github.io/Logging_0125/tillsyn/A 35953-2023 tillsynsbegäran.docx", "A 35953-2023")</f>
        <v/>
      </c>
      <c r="Y3">
        <f>HYPERLINK("https://klasma.github.io/Logging_0125/tillsynsmail/A 35953-2023 tillsynsbegäran mail.docx", "A 35953-2023")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46191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2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Gul lammticka
Blomkålssvamp
Granbarkgnagare
Thomsons trägnagare
Blåsippa
Kungsfågel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  <c r="Z4">
        <f>HYPERLINK("https://klasma.github.io/Logging_0125/fåglar/A 8216-2023 prioriterade fågelarter.docx", "A 8216-2023")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46191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46191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46191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s="1" t="n">
        <v>45937</v>
      </c>
      <c r="C8" s="1" t="n">
        <v>46191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Jättemusseron
Motaggsvamp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s="1" t="n">
        <v>45002</v>
      </c>
      <c r="C9" s="1" t="n">
        <v>46191</v>
      </c>
      <c r="D9" t="inlineStr">
        <is>
          <t>STOCKHOLMS LÄN</t>
        </is>
      </c>
      <c r="E9" t="inlineStr">
        <is>
          <t>EKERÖ</t>
        </is>
      </c>
      <c r="F9" t="inlineStr">
        <is>
          <t>Kommuner</t>
        </is>
      </c>
      <c r="G9" t="n">
        <v>9.300000000000001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Granbarkgnagare
Grönpyrola</t>
        </is>
      </c>
      <c r="S9">
        <f>HYPERLINK("https://klasma.github.io/Logging_0125/artfynd/A 13237-2023 artfynd.xlsx", "A 13237-2023")</f>
        <v/>
      </c>
      <c r="T9">
        <f>HYPERLINK("https://klasma.github.io/Logging_0125/kartor/A 13237-2023 karta.png", "A 13237-2023")</f>
        <v/>
      </c>
      <c r="V9">
        <f>HYPERLINK("https://klasma.github.io/Logging_0125/klagomål/A 13237-2023 FSC-klagomål.docx", "A 13237-2023")</f>
        <v/>
      </c>
      <c r="W9">
        <f>HYPERLINK("https://klasma.github.io/Logging_0125/klagomålsmail/A 13237-2023 FSC-klagomål mail.docx", "A 13237-2023")</f>
        <v/>
      </c>
      <c r="X9">
        <f>HYPERLINK("https://klasma.github.io/Logging_0125/tillsyn/A 13237-2023 tillsynsbegäran.docx", "A 13237-2023")</f>
        <v/>
      </c>
      <c r="Y9">
        <f>HYPERLINK("https://klasma.github.io/Logging_0125/tillsynsmail/A 13237-2023 tillsynsbegäran mail.docx", "A 13237-2023")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46191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Ängsvaxing agg.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s="1" t="n">
        <v>45209</v>
      </c>
      <c r="C11" s="1" t="n">
        <v>46191</v>
      </c>
      <c r="D11" t="inlineStr">
        <is>
          <t>STOCKHOLMS LÄN</t>
        </is>
      </c>
      <c r="E11" t="inlineStr">
        <is>
          <t>EKERÖ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Sångsvan</t>
        </is>
      </c>
      <c r="S11">
        <f>HYPERLINK("https://klasma.github.io/Logging_0125/artfynd/A 48839-2023 artfynd.xlsx", "A 48839-2023")</f>
        <v/>
      </c>
      <c r="T11">
        <f>HYPERLINK("https://klasma.github.io/Logging_0125/kartor/A 48839-2023 karta.png", "A 48839-2023")</f>
        <v/>
      </c>
      <c r="V11">
        <f>HYPERLINK("https://klasma.github.io/Logging_0125/klagomål/A 48839-2023 FSC-klagomål.docx", "A 48839-2023")</f>
        <v/>
      </c>
      <c r="W11">
        <f>HYPERLINK("https://klasma.github.io/Logging_0125/klagomålsmail/A 48839-2023 FSC-klagomål mail.docx", "A 48839-2023")</f>
        <v/>
      </c>
      <c r="X11">
        <f>HYPERLINK("https://klasma.github.io/Logging_0125/tillsyn/A 48839-2023 tillsynsbegäran.docx", "A 48839-2023")</f>
        <v/>
      </c>
      <c r="Y11">
        <f>HYPERLINK("https://klasma.github.io/Logging_0125/tillsynsmail/A 48839-2023 tillsynsbegäran mail.docx", "A 48839-2023")</f>
        <v/>
      </c>
      <c r="Z11">
        <f>HYPERLINK("https://klasma.github.io/Logging_0125/fåglar/A 48839-2023 prioriterade fågelarter.docx", "A 48839-2023")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46191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2533-2026</t>
        </is>
      </c>
      <c r="B13" s="1" t="n">
        <v>46037</v>
      </c>
      <c r="C13" s="1" t="n">
        <v>46191</v>
      </c>
      <c r="D13" t="inlineStr">
        <is>
          <t>STOCKHOLMS LÄN</t>
        </is>
      </c>
      <c r="E13" t="inlineStr">
        <is>
          <t>EKERÖ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HYPERLINK("https://klasma.github.io/Logging_0125/artfynd/A 2533-2026 artfynd.xlsx", "A 2533-2026")</f>
        <v/>
      </c>
      <c r="T13">
        <f>HYPERLINK("https://klasma.github.io/Logging_0125/kartor/A 2533-2026 karta.png", "A 2533-2026")</f>
        <v/>
      </c>
      <c r="V13">
        <f>HYPERLINK("https://klasma.github.io/Logging_0125/klagomål/A 2533-2026 FSC-klagomål.docx", "A 2533-2026")</f>
        <v/>
      </c>
      <c r="W13">
        <f>HYPERLINK("https://klasma.github.io/Logging_0125/klagomålsmail/A 2533-2026 FSC-klagomål mail.docx", "A 2533-2026")</f>
        <v/>
      </c>
      <c r="X13">
        <f>HYPERLINK("https://klasma.github.io/Logging_0125/tillsyn/A 2533-2026 tillsynsbegäran.docx", "A 2533-2026")</f>
        <v/>
      </c>
      <c r="Y13">
        <f>HYPERLINK("https://klasma.github.io/Logging_0125/tillsynsmail/A 2533-2026 tillsynsbegäran mail.docx", "A 2533-2026")</f>
        <v/>
      </c>
    </row>
    <row r="14" ht="15" customHeight="1">
      <c r="A14" t="inlineStr">
        <is>
          <t>A 3221-2022</t>
        </is>
      </c>
      <c r="B14" s="1" t="n">
        <v>44582</v>
      </c>
      <c r="C14" s="1" t="n">
        <v>46191</v>
      </c>
      <c r="D14" t="inlineStr">
        <is>
          <t>STOCKHOLMS LÄN</t>
        </is>
      </c>
      <c r="E14" t="inlineStr">
        <is>
          <t>EKERÖ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HYPERLINK("https://klasma.github.io/Logging_0125/artfynd/A 3221-2022 artfynd.xlsx", "A 3221-2022")</f>
        <v/>
      </c>
      <c r="T14">
        <f>HYPERLINK("https://klasma.github.io/Logging_0125/kartor/A 3221-2022 karta.png", "A 3221-2022")</f>
        <v/>
      </c>
      <c r="V14">
        <f>HYPERLINK("https://klasma.github.io/Logging_0125/klagomål/A 3221-2022 FSC-klagomål.docx", "A 3221-2022")</f>
        <v/>
      </c>
      <c r="W14">
        <f>HYPERLINK("https://klasma.github.io/Logging_0125/klagomålsmail/A 3221-2022 FSC-klagomål mail.docx", "A 3221-2022")</f>
        <v/>
      </c>
      <c r="X14">
        <f>HYPERLINK("https://klasma.github.io/Logging_0125/tillsyn/A 3221-2022 tillsynsbegäran.docx", "A 3221-2022")</f>
        <v/>
      </c>
      <c r="Y14">
        <f>HYPERLINK("https://klasma.github.io/Logging_0125/tillsynsmail/A 3221-2022 tillsynsbegäran mail.docx", "A 3221-2022")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46191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46191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46191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46191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46191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2535-2026</t>
        </is>
      </c>
      <c r="B20" s="1" t="n">
        <v>46037</v>
      </c>
      <c r="C20" s="1" t="n">
        <v>46191</v>
      </c>
      <c r="D20" t="inlineStr">
        <is>
          <t>STOCKHOLMS LÄN</t>
        </is>
      </c>
      <c r="E20" t="inlineStr">
        <is>
          <t>EKERÖ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60755-2024</t>
        </is>
      </c>
      <c r="B21" s="1" t="n">
        <v>45644</v>
      </c>
      <c r="C21" s="1" t="n">
        <v>46191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</v>
      </c>
      <c r="C22" s="1" t="n">
        <v>46191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35955-2023</t>
        </is>
      </c>
      <c r="B23" s="1" t="n">
        <v>45148</v>
      </c>
      <c r="C23" s="1" t="n">
        <v>46191</v>
      </c>
      <c r="D23" t="inlineStr">
        <is>
          <t>STOCKHOLMS LÄN</t>
        </is>
      </c>
      <c r="E23" t="inlineStr">
        <is>
          <t>EKERÖ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60728-2022</t>
        </is>
      </c>
      <c r="B24" s="1" t="n">
        <v>44913</v>
      </c>
      <c r="C24" s="1" t="n">
        <v>46191</v>
      </c>
      <c r="D24" t="inlineStr">
        <is>
          <t>STOCKHOLMS LÄN</t>
        </is>
      </c>
      <c r="E24" t="inlineStr">
        <is>
          <t>EKERÖ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63378-2025</t>
        </is>
      </c>
      <c r="B25" s="1" t="n">
        <v>46010</v>
      </c>
      <c r="C25" s="1" t="n">
        <v>46191</v>
      </c>
      <c r="D25" t="inlineStr">
        <is>
          <t>STOCKHOLMS LÄN</t>
        </is>
      </c>
      <c r="E25" t="inlineStr">
        <is>
          <t>EKERÖ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</v>
      </c>
      <c r="C26" s="1" t="n">
        <v>46191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50184-2023</t>
        </is>
      </c>
      <c r="B27" s="1" t="n">
        <v>45208</v>
      </c>
      <c r="C27" s="1" t="n">
        <v>46191</v>
      </c>
      <c r="D27" t="inlineStr">
        <is>
          <t>STOCKHOLMS LÄN</t>
        </is>
      </c>
      <c r="E27" t="inlineStr">
        <is>
          <t>EKERÖ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20399-2026</t>
        </is>
      </c>
      <c r="B28" s="1" t="n">
        <v>46139</v>
      </c>
      <c r="C28" s="1" t="n">
        <v>46191</v>
      </c>
      <c r="D28" t="inlineStr">
        <is>
          <t>STOCKHOLMS LÄN</t>
        </is>
      </c>
      <c r="E28" t="inlineStr">
        <is>
          <t>EKERÖ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20398-2026</t>
        </is>
      </c>
      <c r="B29" s="1" t="n">
        <v>46139</v>
      </c>
      <c r="C29" s="1" t="n">
        <v>46191</v>
      </c>
      <c r="D29" t="inlineStr">
        <is>
          <t>STOCKHOLMS LÄN</t>
        </is>
      </c>
      <c r="E29" t="inlineStr">
        <is>
          <t>EKERÖ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</v>
      </c>
      <c r="C30" s="1" t="n">
        <v>46191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20898-2026</t>
        </is>
      </c>
      <c r="B31" s="1" t="n">
        <v>46142</v>
      </c>
      <c r="C31" s="1" t="n">
        <v>46191</v>
      </c>
      <c r="D31" t="inlineStr">
        <is>
          <t>STOCKHOLMS LÄN</t>
        </is>
      </c>
      <c r="E31" t="inlineStr">
        <is>
          <t>EKERÖ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</v>
      </c>
      <c r="C32" s="1" t="n">
        <v>46191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</v>
      </c>
      <c r="C33" s="1" t="n">
        <v>46191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46191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34073-2025</t>
        </is>
      </c>
      <c r="B35" s="1" t="n">
        <v>45845</v>
      </c>
      <c r="C35" s="1" t="n">
        <v>46191</v>
      </c>
      <c r="D35" t="inlineStr">
        <is>
          <t>STOCKHOLMS LÄN</t>
        </is>
      </c>
      <c r="E35" t="inlineStr">
        <is>
          <t>EKERÖ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37245-2025</t>
        </is>
      </c>
      <c r="B36" s="1" t="n">
        <v>45876</v>
      </c>
      <c r="C36" s="1" t="n">
        <v>46191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2026-06-18T13:15:53Z</dcterms:created>
  <dcterms:modified xmlns:dcterms="http://purl.org/dc/terms/" xmlns:xsi="http://www.w3.org/2001/XMLSchema-instance" xsi:type="dcterms:W3CDTF">2026-06-18T13:15:54Z</dcterms:modified>
</cp:coreProperties>
</file>