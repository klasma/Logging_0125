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52884-2022</t>
        </is>
      </c>
      <c r="B2" s="1" t="n">
        <v>44872</v>
      </c>
      <c r="C2" s="1" t="n">
        <v>46196</v>
      </c>
      <c r="D2" t="inlineStr">
        <is>
          <t>STOCKHOLMS LÄN</t>
        </is>
      </c>
      <c r="E2" t="inlineStr">
        <is>
          <t>EKERÖ</t>
        </is>
      </c>
      <c r="F2" t="inlineStr">
        <is>
          <t>Övriga statliga verk och myndigheter</t>
        </is>
      </c>
      <c r="G2" t="n">
        <v>4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Järnsparv
Myskbock
Blåsippa
Spillkråka
Grönsiska
Kungsfågel
Svartvit flugsnappare</t>
        </is>
      </c>
      <c r="S2">
        <f>HYPERLINK("https://klasma.github.io/Logging_0125/artfynd/A 52884-2022 artfynd.xlsx", "A 52884-2022")</f>
        <v/>
      </c>
      <c r="T2">
        <f>HYPERLINK("https://klasma.github.io/Logging_0125/kartor/A 52884-2022 karta.png", "A 52884-2022")</f>
        <v/>
      </c>
      <c r="V2">
        <f>HYPERLINK("https://klasma.github.io/Logging_0125/klagomål/A 52884-2022 FSC-klagomål.docx", "A 52884-2022")</f>
        <v/>
      </c>
      <c r="W2">
        <f>HYPERLINK("https://klasma.github.io/Logging_0125/klagomålsmail/A 52884-2022 FSC-klagomål mail.docx", "A 52884-2022")</f>
        <v/>
      </c>
      <c r="X2">
        <f>HYPERLINK("https://klasma.github.io/Logging_0125/tillsyn/A 52884-2022 tillsynsbegäran.docx", "A 52884-2022")</f>
        <v/>
      </c>
      <c r="Y2">
        <f>HYPERLINK("https://klasma.github.io/Logging_0125/tillsynsmail/A 52884-2022 tillsynsbegäran mail.docx", "A 52884-2022")</f>
        <v/>
      </c>
      <c r="Z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46196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2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Gul lammticka
Blomkålssvamp
Granbarkgnagare
Thomsons trägnagare
Blåsippa
Kungsfågel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s="1" t="n">
        <v>45148</v>
      </c>
      <c r="C4" s="1" t="n">
        <v>46196</v>
      </c>
      <c r="D4" t="inlineStr">
        <is>
          <t>STOCKHOLMS LÄN</t>
        </is>
      </c>
      <c r="E4" t="inlineStr">
        <is>
          <t>EKERÖ</t>
        </is>
      </c>
      <c r="G4" t="n">
        <v>2.1</v>
      </c>
      <c r="H4" t="n">
        <v>2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Bombmurkla
Gul lammticka
Fyrflikig jordstjärna
Kamjordstjärna
Blåbär
Vanlig groda</t>
        </is>
      </c>
      <c r="S4">
        <f>HYPERLINK("https://klasma.github.io/Logging_0125/artfynd/A 35953-2023 artfynd.xlsx", "A 35953-2023")</f>
        <v/>
      </c>
      <c r="T4">
        <f>HYPERLINK("https://klasma.github.io/Logging_0125/kartor/A 35953-2023 karta.png", "A 35953-2023")</f>
        <v/>
      </c>
      <c r="V4">
        <f>HYPERLINK("https://klasma.github.io/Logging_0125/klagomål/A 35953-2023 FSC-klagomål.docx", "A 35953-2023")</f>
        <v/>
      </c>
      <c r="W4">
        <f>HYPERLINK("https://klasma.github.io/Logging_0125/klagomålsmail/A 35953-2023 FSC-klagomål mail.docx", "A 35953-2023")</f>
        <v/>
      </c>
      <c r="X4">
        <f>HYPERLINK("https://klasma.github.io/Logging_0125/tillsyn/A 35953-2023 tillsynsbegäran.docx", "A 35953-2023")</f>
        <v/>
      </c>
      <c r="Y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s="1" t="n">
        <v>44582</v>
      </c>
      <c r="C5" s="1" t="n">
        <v>46196</v>
      </c>
      <c r="D5" t="inlineStr">
        <is>
          <t>STOCKHOLMS LÄN</t>
        </is>
      </c>
      <c r="E5" t="inlineStr">
        <is>
          <t>EKERÖ</t>
        </is>
      </c>
      <c r="G5" t="n">
        <v>1.2</v>
      </c>
      <c r="H5" t="n">
        <v>1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Bombmurkla
Gul lammticka
Fyrflikig jordstjärna
Kamjordstjärna
Blåbär</t>
        </is>
      </c>
      <c r="S5">
        <f>HYPERLINK("https://klasma.github.io/Logging_0125/artfynd/A 3218-2022 artfynd.xlsx", "A 3218-2022")</f>
        <v/>
      </c>
      <c r="T5">
        <f>HYPERLINK("https://klasma.github.io/Logging_0125/kartor/A 3218-2022 karta.png", "A 3218-2022")</f>
        <v/>
      </c>
      <c r="V5">
        <f>HYPERLINK("https://klasma.github.io/Logging_0125/klagomål/A 3218-2022 FSC-klagomål.docx", "A 3218-2022")</f>
        <v/>
      </c>
      <c r="W5">
        <f>HYPERLINK("https://klasma.github.io/Logging_0125/klagomålsmail/A 3218-2022 FSC-klagomål mail.docx", "A 3218-2022")</f>
        <v/>
      </c>
      <c r="X5">
        <f>HYPERLINK("https://klasma.github.io/Logging_0125/tillsyn/A 3218-2022 tillsynsbegäran.docx", "A 3218-2022")</f>
        <v/>
      </c>
      <c r="Y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s="1" t="n">
        <v>46119</v>
      </c>
      <c r="C6" s="1" t="n">
        <v>46196</v>
      </c>
      <c r="D6" t="inlineStr">
        <is>
          <t>STOCKHOLMS LÄN</t>
        </is>
      </c>
      <c r="E6" t="inlineStr">
        <is>
          <t>EKERÖ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Blekticka
Ekticka
Kandelabersvamp
Gulgrön kantmusseron</t>
        </is>
      </c>
      <c r="S6">
        <f>HYPERLINK("https://klasma.github.io/Logging_0125/artfynd/A 17520-2026 artfynd.xlsx", "A 17520-2026")</f>
        <v/>
      </c>
      <c r="T6">
        <f>HYPERLINK("https://klasma.github.io/Logging_0125/kartor/A 17520-2026 karta.png", "A 17520-2026")</f>
        <v/>
      </c>
      <c r="V6">
        <f>HYPERLINK("https://klasma.github.io/Logging_0125/klagomål/A 17520-2026 FSC-klagomål.docx", "A 17520-2026")</f>
        <v/>
      </c>
      <c r="W6">
        <f>HYPERLINK("https://klasma.github.io/Logging_0125/klagomålsmail/A 17520-2026 FSC-klagomål mail.docx", "A 17520-2026")</f>
        <v/>
      </c>
      <c r="X6">
        <f>HYPERLINK("https://klasma.github.io/Logging_0125/tillsyn/A 17520-2026 tillsynsbegäran.docx", "A 17520-2026")</f>
        <v/>
      </c>
      <c r="Y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s="1" t="n">
        <v>44634</v>
      </c>
      <c r="C7" s="1" t="n">
        <v>46196</v>
      </c>
      <c r="D7" t="inlineStr">
        <is>
          <t>STOCKHOLMS LÄN</t>
        </is>
      </c>
      <c r="E7" t="inlineStr">
        <is>
          <t>EKERÖ</t>
        </is>
      </c>
      <c r="G7" t="n">
        <v>2.7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Backklöver
Solvända
Gullviva</t>
        </is>
      </c>
      <c r="S7">
        <f>HYPERLINK("https://klasma.github.io/Logging_0125/artfynd/A 11803-2022 artfynd.xlsx", "A 11803-2022")</f>
        <v/>
      </c>
      <c r="T7">
        <f>HYPERLINK("https://klasma.github.io/Logging_0125/kartor/A 11803-2022 karta.png", "A 11803-2022")</f>
        <v/>
      </c>
      <c r="V7">
        <f>HYPERLINK("https://klasma.github.io/Logging_0125/klagomål/A 11803-2022 FSC-klagomål.docx", "A 11803-2022")</f>
        <v/>
      </c>
      <c r="W7">
        <f>HYPERLINK("https://klasma.github.io/Logging_0125/klagomålsmail/A 11803-2022 FSC-klagomål mail.docx", "A 11803-2022")</f>
        <v/>
      </c>
      <c r="X7">
        <f>HYPERLINK("https://klasma.github.io/Logging_0125/tillsyn/A 11803-2022 tillsynsbegäran.docx", "A 11803-2022")</f>
        <v/>
      </c>
      <c r="Y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s="1" t="n">
        <v>45002</v>
      </c>
      <c r="C8" s="1" t="n">
        <v>46196</v>
      </c>
      <c r="D8" t="inlineStr">
        <is>
          <t>STOCKHOLMS LÄN</t>
        </is>
      </c>
      <c r="E8" t="inlineStr">
        <is>
          <t>EKERÖ</t>
        </is>
      </c>
      <c r="F8" t="inlineStr">
        <is>
          <t>Kommuner</t>
        </is>
      </c>
      <c r="G8" t="n">
        <v>9.300000000000001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Granbarkgnagare
Grönpyrola</t>
        </is>
      </c>
      <c r="S8">
        <f>HYPERLINK("https://klasma.github.io/Logging_0125/artfynd/A 13237-2023 artfynd.xlsx", "A 13237-2023")</f>
        <v/>
      </c>
      <c r="T8">
        <f>HYPERLINK("https://klasma.github.io/Logging_0125/kartor/A 13237-2023 karta.png", "A 13237-2023")</f>
        <v/>
      </c>
      <c r="V8">
        <f>HYPERLINK("https://klasma.github.io/Logging_0125/klagomål/A 13237-2023 FSC-klagomål.docx", "A 13237-2023")</f>
        <v/>
      </c>
      <c r="W8">
        <f>HYPERLINK("https://klasma.github.io/Logging_0125/klagomålsmail/A 13237-2023 FSC-klagomål mail.docx", "A 13237-2023")</f>
        <v/>
      </c>
      <c r="X8">
        <f>HYPERLINK("https://klasma.github.io/Logging_0125/tillsyn/A 13237-2023 tillsynsbegäran.docx", "A 13237-2023")</f>
        <v/>
      </c>
      <c r="Y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s="1" t="n">
        <v>45937</v>
      </c>
      <c r="C9" s="1" t="n">
        <v>46196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Jättemusseron
Motaggsvamp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46196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Ängsvaxing agg.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48839-2023</t>
        </is>
      </c>
      <c r="B11" s="1" t="n">
        <v>45209</v>
      </c>
      <c r="C11" s="1" t="n">
        <v>46196</v>
      </c>
      <c r="D11" t="inlineStr">
        <is>
          <t>STOCKHOLMS LÄN</t>
        </is>
      </c>
      <c r="E11" t="inlineStr">
        <is>
          <t>EKERÖ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Sångsvan</t>
        </is>
      </c>
      <c r="S11">
        <f>HYPERLINK("https://klasma.github.io/Logging_0125/artfynd/A 48839-2023 artfynd.xlsx", "A 48839-2023")</f>
        <v/>
      </c>
      <c r="T11">
        <f>HYPERLINK("https://klasma.github.io/Logging_0125/kartor/A 48839-2023 karta.png", "A 48839-2023")</f>
        <v/>
      </c>
      <c r="V11">
        <f>HYPERLINK("https://klasma.github.io/Logging_0125/klagomål/A 48839-2023 FSC-klagomål.docx", "A 48839-2023")</f>
        <v/>
      </c>
      <c r="W11">
        <f>HYPERLINK("https://klasma.github.io/Logging_0125/klagomålsmail/A 48839-2023 FSC-klagomål mail.docx", "A 48839-2023")</f>
        <v/>
      </c>
      <c r="X11">
        <f>HYPERLINK("https://klasma.github.io/Logging_0125/tillsyn/A 48839-2023 tillsynsbegäran.docx", "A 48839-2023")</f>
        <v/>
      </c>
      <c r="Y11">
        <f>HYPERLINK("https://klasma.github.io/Logging_0125/tillsynsmail/A 48839-2023 tillsynsbegäran mail.docx", "A 48839-2023")</f>
        <v/>
      </c>
      <c r="Z11">
        <f>HYPERLINK("https://klasma.github.io/Logging_0125/fåglar/A 48839-2023 prioriterade fågelarter.docx", "A 48839-2023")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46196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3221-2022</t>
        </is>
      </c>
      <c r="B13" s="1" t="n">
        <v>44582</v>
      </c>
      <c r="C13" s="1" t="n">
        <v>46196</v>
      </c>
      <c r="D13" t="inlineStr">
        <is>
          <t>STOCKHOLMS LÄN</t>
        </is>
      </c>
      <c r="E13" t="inlineStr">
        <is>
          <t>EKERÖ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HYPERLINK("https://klasma.github.io/Logging_0125/artfynd/A 3221-2022 artfynd.xlsx", "A 3221-2022")</f>
        <v/>
      </c>
      <c r="T13">
        <f>HYPERLINK("https://klasma.github.io/Logging_0125/kartor/A 3221-2022 karta.png", "A 3221-2022")</f>
        <v/>
      </c>
      <c r="V13">
        <f>HYPERLINK("https://klasma.github.io/Logging_0125/klagomål/A 3221-2022 FSC-klagomål.docx", "A 3221-2022")</f>
        <v/>
      </c>
      <c r="W13">
        <f>HYPERLINK("https://klasma.github.io/Logging_0125/klagomålsmail/A 3221-2022 FSC-klagomål mail.docx", "A 3221-2022")</f>
        <v/>
      </c>
      <c r="X13">
        <f>HYPERLINK("https://klasma.github.io/Logging_0125/tillsyn/A 3221-2022 tillsynsbegäran.docx", "A 3221-2022")</f>
        <v/>
      </c>
      <c r="Y13">
        <f>HYPERLINK("https://klasma.github.io/Logging_0125/tillsynsmail/A 3221-2022 tillsynsbegäran mail.docx", "A 3221-2022")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46196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46196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2533-2026</t>
        </is>
      </c>
      <c r="B16" s="1" t="n">
        <v>46037</v>
      </c>
      <c r="C16" s="1" t="n">
        <v>46196</v>
      </c>
      <c r="D16" t="inlineStr">
        <is>
          <t>STOCKHOLMS LÄN</t>
        </is>
      </c>
      <c r="E16" t="inlineStr">
        <is>
          <t>EKERÖ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HYPERLINK("https://klasma.github.io/Logging_0125/artfynd/A 2533-2026 artfynd.xlsx", "A 2533-2026")</f>
        <v/>
      </c>
      <c r="T16">
        <f>HYPERLINK("https://klasma.github.io/Logging_0125/kartor/A 2533-2026 karta.png", "A 2533-2026")</f>
        <v/>
      </c>
      <c r="V16">
        <f>HYPERLINK("https://klasma.github.io/Logging_0125/klagomål/A 2533-2026 FSC-klagomål.docx", "A 2533-2026")</f>
        <v/>
      </c>
      <c r="W16">
        <f>HYPERLINK("https://klasma.github.io/Logging_0125/klagomålsmail/A 2533-2026 FSC-klagomål mail.docx", "A 2533-2026")</f>
        <v/>
      </c>
      <c r="X16">
        <f>HYPERLINK("https://klasma.github.io/Logging_0125/tillsyn/A 2533-2026 tillsynsbegäran.docx", "A 2533-2026")</f>
        <v/>
      </c>
      <c r="Y16">
        <f>HYPERLINK("https://klasma.github.io/Logging_0125/tillsynsmail/A 2533-2026 tillsynsbegäran mail.docx", "A 2533-2026")</f>
        <v/>
      </c>
    </row>
    <row r="17" ht="15" customHeight="1">
      <c r="A17" t="inlineStr">
        <is>
          <t>A 16242-2022</t>
        </is>
      </c>
      <c r="B17" s="1" t="n">
        <v>44670</v>
      </c>
      <c r="C17" s="1" t="n">
        <v>46196</v>
      </c>
      <c r="D17" t="inlineStr">
        <is>
          <t>STOCKHOLMS LÄN</t>
        </is>
      </c>
      <c r="E17" t="inlineStr">
        <is>
          <t>EKERÖ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36063-2022</t>
        </is>
      </c>
      <c r="B18" s="1" t="n">
        <v>44802</v>
      </c>
      <c r="C18" s="1" t="n">
        <v>46196</v>
      </c>
      <c r="D18" t="inlineStr">
        <is>
          <t>STOCKHOLMS LÄN</t>
        </is>
      </c>
      <c r="E18" t="inlineStr">
        <is>
          <t>EKERÖ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46196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26600-2025</t>
        </is>
      </c>
      <c r="B20" s="1" t="n">
        <v>45808</v>
      </c>
      <c r="C20" s="1" t="n">
        <v>46196</v>
      </c>
      <c r="D20" t="inlineStr">
        <is>
          <t>STOCKHOLMS LÄN</t>
        </is>
      </c>
      <c r="E20" t="inlineStr">
        <is>
          <t>EKERÖ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63378-2025</t>
        </is>
      </c>
      <c r="B21" s="1" t="n">
        <v>46010</v>
      </c>
      <c r="C21" s="1" t="n">
        <v>46196</v>
      </c>
      <c r="D21" t="inlineStr">
        <is>
          <t>STOCKHOLMS LÄN</t>
        </is>
      </c>
      <c r="E21" t="inlineStr">
        <is>
          <t>EKERÖ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34073-2025</t>
        </is>
      </c>
      <c r="B22" s="1" t="n">
        <v>45845</v>
      </c>
      <c r="C22" s="1" t="n">
        <v>46196</v>
      </c>
      <c r="D22" t="inlineStr">
        <is>
          <t>STOCKHOLMS LÄN</t>
        </is>
      </c>
      <c r="E22" t="inlineStr">
        <is>
          <t>EKERÖ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2535-2026</t>
        </is>
      </c>
      <c r="B23" s="1" t="n">
        <v>46037</v>
      </c>
      <c r="C23" s="1" t="n">
        <v>46196</v>
      </c>
      <c r="D23" t="inlineStr">
        <is>
          <t>STOCKHOLMS LÄN</t>
        </is>
      </c>
      <c r="E23" t="inlineStr">
        <is>
          <t>EKERÖ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37245-2025</t>
        </is>
      </c>
      <c r="B24" s="1" t="n">
        <v>45876</v>
      </c>
      <c r="C24" s="1" t="n">
        <v>46196</v>
      </c>
      <c r="D24" t="inlineStr">
        <is>
          <t>STOCKHOLMS LÄN</t>
        </is>
      </c>
      <c r="E24" t="inlineStr">
        <is>
          <t>EKERÖ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46196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20399-2026</t>
        </is>
      </c>
      <c r="B26" s="1" t="n">
        <v>46139</v>
      </c>
      <c r="C26" s="1" t="n">
        <v>46196</v>
      </c>
      <c r="D26" t="inlineStr">
        <is>
          <t>STOCKHOLMS LÄN</t>
        </is>
      </c>
      <c r="E26" t="inlineStr">
        <is>
          <t>EKERÖ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20398-2026</t>
        </is>
      </c>
      <c r="B27" s="1" t="n">
        <v>46139</v>
      </c>
      <c r="C27" s="1" t="n">
        <v>46196</v>
      </c>
      <c r="D27" t="inlineStr">
        <is>
          <t>STOCKHOLMS LÄN</t>
        </is>
      </c>
      <c r="E27" t="inlineStr">
        <is>
          <t>EKERÖ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</v>
      </c>
      <c r="C28" s="1" t="n">
        <v>46196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20898-2026</t>
        </is>
      </c>
      <c r="B29" s="1" t="n">
        <v>46142</v>
      </c>
      <c r="C29" s="1" t="n">
        <v>46196</v>
      </c>
      <c r="D29" t="inlineStr">
        <is>
          <t>STOCKHOLMS LÄN</t>
        </is>
      </c>
      <c r="E29" t="inlineStr">
        <is>
          <t>EKERÖ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</v>
      </c>
      <c r="C30" s="1" t="n">
        <v>46196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46196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</v>
      </c>
      <c r="C32" s="1" t="n">
        <v>46196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</v>
      </c>
      <c r="C33" s="1" t="n">
        <v>46196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46196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46196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60755-2024</t>
        </is>
      </c>
      <c r="B36" s="1" t="n">
        <v>45644</v>
      </c>
      <c r="C36" s="1" t="n">
        <v>46196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2026-06-23T04:34:31Z</dcterms:created>
  <dcterms:modified xmlns:dcterms="http://purl.org/dc/terms/" xmlns:xsi="http://www.w3.org/2001/XMLSchema-instance" xsi:type="dcterms:W3CDTF">2026-06-23T04:34:31Z</dcterms:modified>
</cp:coreProperties>
</file>