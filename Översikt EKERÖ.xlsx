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45363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4996-2024</t>
        </is>
      </c>
      <c r="B3" s="1" t="n">
        <v>45329</v>
      </c>
      <c r="C3" s="1" t="n">
        <v>45363</v>
      </c>
      <c r="D3" t="inlineStr">
        <is>
          <t>STOCKHOLMS LÄN</t>
        </is>
      </c>
      <c r="E3" t="inlineStr">
        <is>
          <t>EKERÖ</t>
        </is>
      </c>
      <c r="G3" t="n">
        <v>130.3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Bombmurkla
Etternässla
Vattenfräne
Sårläka
Grönvit nattviol
Blåsippa</t>
        </is>
      </c>
      <c r="S3">
        <f>HYPERLINK("https://klasma.github.io/Logging_0125/artfynd/A 4996-2024 artfynd.xlsx", "A 4996-2024")</f>
        <v/>
      </c>
      <c r="T3">
        <f>HYPERLINK("https://klasma.github.io/Logging_0125/kartor/A 4996-2024 karta.png", "A 4996-2024")</f>
        <v/>
      </c>
      <c r="V3">
        <f>HYPERLINK("https://klasma.github.io/Logging_0125/klagomål/A 4996-2024 FSC-klagomål.docx", "A 4996-2024")</f>
        <v/>
      </c>
      <c r="W3">
        <f>HYPERLINK("https://klasma.github.io/Logging_0125/klagomålsmail/A 4996-2024 FSC-klagomål mail.docx", "A 4996-2024")</f>
        <v/>
      </c>
      <c r="X3">
        <f>HYPERLINK("https://klasma.github.io/Logging_0125/tillsyn/A 4996-2024 tillsynsbegäran.docx", "A 4996-2024")</f>
        <v/>
      </c>
      <c r="Y3">
        <f>HYPERLINK("https://klasma.github.io/Logging_0125/tillsynsmail/A 4996-2024 tillsynsbegäran mail.docx", "A 4996-2024")</f>
        <v/>
      </c>
    </row>
    <row r="4" ht="15" customHeight="1">
      <c r="A4" t="inlineStr">
        <is>
          <t>A 26334-2020</t>
        </is>
      </c>
      <c r="B4" s="1" t="n">
        <v>43986</v>
      </c>
      <c r="C4" s="1" t="n">
        <v>45363</v>
      </c>
      <c r="D4" t="inlineStr">
        <is>
          <t>STOCKHOLMS LÄN</t>
        </is>
      </c>
      <c r="E4" t="inlineStr">
        <is>
          <t>EKERÖ</t>
        </is>
      </c>
      <c r="G4" t="n">
        <v>1.1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Druvfingersvamp
Blåmossa
Bronshjon
Dropptaggsvamp
Blåsippa</t>
        </is>
      </c>
      <c r="S4">
        <f>HYPERLINK("https://klasma.github.io/Logging_0125/artfynd/A 26334-2020 artfynd.xlsx", "A 26334-2020")</f>
        <v/>
      </c>
      <c r="T4">
        <f>HYPERLINK("https://klasma.github.io/Logging_0125/kartor/A 26334-2020 karta.png", "A 26334-2020")</f>
        <v/>
      </c>
      <c r="V4">
        <f>HYPERLINK("https://klasma.github.io/Logging_0125/klagomål/A 26334-2020 FSC-klagomål.docx", "A 26334-2020")</f>
        <v/>
      </c>
      <c r="W4">
        <f>HYPERLINK("https://klasma.github.io/Logging_0125/klagomålsmail/A 26334-2020 FSC-klagomål mail.docx", "A 26334-2020")</f>
        <v/>
      </c>
      <c r="X4">
        <f>HYPERLINK("https://klasma.github.io/Logging_0125/tillsyn/A 26334-2020 tillsynsbegäran.docx", "A 26334-2020")</f>
        <v/>
      </c>
      <c r="Y4">
        <f>HYPERLINK("https://klasma.github.io/Logging_0125/tillsynsmail/A 26334-2020 tillsynsbegäran mail.docx", "A 26334-2020")</f>
        <v/>
      </c>
    </row>
    <row r="5" ht="15" customHeight="1">
      <c r="A5" t="inlineStr">
        <is>
          <t>A 8216-2023</t>
        </is>
      </c>
      <c r="B5" s="1" t="n">
        <v>44974</v>
      </c>
      <c r="C5" s="1" t="n">
        <v>45363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5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Gul lammticka
Blomkålssvamp
Granbarkgnagare
Thomsons trägnagare
Blåsippa</t>
        </is>
      </c>
      <c r="S5">
        <f>HYPERLINK("https://klasma.github.io/Logging_0125/artfynd/A 8216-2023 artfynd.xlsx", "A 8216-2023")</f>
        <v/>
      </c>
      <c r="T5">
        <f>HYPERLINK("https://klasma.github.io/Logging_0125/kartor/A 8216-2023 karta.png", "A 8216-2023")</f>
        <v/>
      </c>
      <c r="V5">
        <f>HYPERLINK("https://klasma.github.io/Logging_0125/klagomål/A 8216-2023 FSC-klagomål.docx", "A 8216-2023")</f>
        <v/>
      </c>
      <c r="W5">
        <f>HYPERLINK("https://klasma.github.io/Logging_0125/klagomålsmail/A 8216-2023 FSC-klagomål mail.docx", "A 8216-2023")</f>
        <v/>
      </c>
      <c r="X5">
        <f>HYPERLINK("https://klasma.github.io/Logging_0125/tillsyn/A 8216-2023 tillsynsbegäran.docx", "A 8216-2023")</f>
        <v/>
      </c>
      <c r="Y5">
        <f>HYPERLINK("https://klasma.github.io/Logging_0125/tillsynsmail/A 8216-2023 tillsynsbegäran mail.docx", "A 8216-2023")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45363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45363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45363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45363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45363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45363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45363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45363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45363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45363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72547-2018</t>
        </is>
      </c>
      <c r="B16" s="1" t="n">
        <v>43462</v>
      </c>
      <c r="C16" s="1" t="n">
        <v>45363</v>
      </c>
      <c r="D16" t="inlineStr">
        <is>
          <t>STOCKHOLMS LÄN</t>
        </is>
      </c>
      <c r="E16" t="inlineStr">
        <is>
          <t>EKERÖ</t>
        </is>
      </c>
      <c r="F16" t="inlineStr">
        <is>
          <t>Kyrkan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5717-2019</t>
        </is>
      </c>
      <c r="B17" s="1" t="n">
        <v>43489</v>
      </c>
      <c r="C17" s="1" t="n">
        <v>45363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17487-2019</t>
        </is>
      </c>
      <c r="B18" s="1" t="n">
        <v>43553</v>
      </c>
      <c r="C18" s="1" t="n">
        <v>45363</v>
      </c>
      <c r="D18" t="inlineStr">
        <is>
          <t>STOCKHOLMS LÄN</t>
        </is>
      </c>
      <c r="E18" t="inlineStr">
        <is>
          <t>EKERÖ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17480-2019</t>
        </is>
      </c>
      <c r="B19" s="1" t="n">
        <v>43553</v>
      </c>
      <c r="C19" s="1" t="n">
        <v>45363</v>
      </c>
      <c r="D19" t="inlineStr">
        <is>
          <t>STOCKHOLMS LÄN</t>
        </is>
      </c>
      <c r="E19" t="inlineStr">
        <is>
          <t>EKERÖ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31171-2019</t>
        </is>
      </c>
      <c r="B20" s="1" t="n">
        <v>43635</v>
      </c>
      <c r="C20" s="1" t="n">
        <v>45363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45363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45363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45363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45363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45363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45363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45363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45363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45363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45363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45363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45363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45363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45363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45363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45363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45363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45363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45363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45363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45363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45363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45363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52884-2022</t>
        </is>
      </c>
      <c r="B44" s="1" t="n">
        <v>44872</v>
      </c>
      <c r="C44" s="1" t="n">
        <v>45363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60729-2022</t>
        </is>
      </c>
      <c r="B45" s="1" t="n">
        <v>44913</v>
      </c>
      <c r="C45" s="1" t="n">
        <v>45363</v>
      </c>
      <c r="D45" t="inlineStr">
        <is>
          <t>STOCKHOLMS LÄN</t>
        </is>
      </c>
      <c r="E45" t="inlineStr">
        <is>
          <t>EKERÖ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60728-2022</t>
        </is>
      </c>
      <c r="B46" s="1" t="n">
        <v>44913</v>
      </c>
      <c r="C46" s="1" t="n">
        <v>45363</v>
      </c>
      <c r="D46" t="inlineStr">
        <is>
          <t>STOCKHOLMS LÄN</t>
        </is>
      </c>
      <c r="E46" t="inlineStr">
        <is>
          <t>EKERÖ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4904-2023</t>
        </is>
      </c>
      <c r="B47" s="1" t="n">
        <v>44956</v>
      </c>
      <c r="C47" s="1" t="n">
        <v>45363</v>
      </c>
      <c r="D47" t="inlineStr">
        <is>
          <t>STOCKHOLMS LÄN</t>
        </is>
      </c>
      <c r="E47" t="inlineStr">
        <is>
          <t>EKERÖ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14015-2023</t>
        </is>
      </c>
      <c r="B48" s="1" t="n">
        <v>45008</v>
      </c>
      <c r="C48" s="1" t="n">
        <v>45363</v>
      </c>
      <c r="D48" t="inlineStr">
        <is>
          <t>STOCKHOLMS LÄN</t>
        </is>
      </c>
      <c r="E48" t="inlineStr">
        <is>
          <t>EKERÖ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18723-2023</t>
        </is>
      </c>
      <c r="B49" s="1" t="n">
        <v>45043</v>
      </c>
      <c r="C49" s="1" t="n">
        <v>45363</v>
      </c>
      <c r="D49" t="inlineStr">
        <is>
          <t>STOCKHOLMS LÄN</t>
        </is>
      </c>
      <c r="E49" t="inlineStr">
        <is>
          <t>EKERÖ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35955-2023</t>
        </is>
      </c>
      <c r="B50" s="1" t="n">
        <v>45148</v>
      </c>
      <c r="C50" s="1" t="n">
        <v>45363</v>
      </c>
      <c r="D50" t="inlineStr">
        <is>
          <t>STOCKHOLMS LÄN</t>
        </is>
      </c>
      <c r="E50" t="inlineStr">
        <is>
          <t>EKERÖ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50184-2023</t>
        </is>
      </c>
      <c r="B51" s="1" t="n">
        <v>45208</v>
      </c>
      <c r="C51" s="1" t="n">
        <v>45363</v>
      </c>
      <c r="D51" t="inlineStr">
        <is>
          <t>STOCKHOLMS LÄN</t>
        </is>
      </c>
      <c r="E51" t="inlineStr">
        <is>
          <t>EKERÖ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48839-2023</t>
        </is>
      </c>
      <c r="B52" s="1" t="n">
        <v>45209</v>
      </c>
      <c r="C52" s="1" t="n">
        <v>45363</v>
      </c>
      <c r="D52" t="inlineStr">
        <is>
          <t>STOCKHOLMS LÄN</t>
        </is>
      </c>
      <c r="E52" t="inlineStr">
        <is>
          <t>EKERÖ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2024-03-12T14:00:54Z</dcterms:created>
  <dcterms:modified xmlns:dcterms="http://purl.org/dc/terms/" xmlns:xsi="http://www.w3.org/2001/XMLSchema-instance" xsi:type="dcterms:W3CDTF">2024-03-12T14:00:54Z</dcterms:modified>
</cp:coreProperties>
</file>